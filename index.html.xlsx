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价格对比分析" sheetId="1" r:id="rId5"/>
    <sheet state="visible" name="统计摘要" sheetId="2" r:id="rId6"/>
  </sheets>
  <definedNames>
    <definedName hidden="1" localSheetId="0" name="_xlnm._FilterDatabase">'价格对比分析'!$A$3:$O$405</definedName>
  </definedNames>
  <calcPr/>
</workbook>
</file>

<file path=xl/sharedStrings.xml><?xml version="1.0" encoding="utf-8"?>
<sst xmlns="http://schemas.openxmlformats.org/spreadsheetml/2006/main" count="714" uniqueCount="680">
  <si>
    <t>机油泵供应商报价对比分析表</t>
  </si>
  <si>
    <r>
      <rPr>
        <rFont val="Noto Sans CJK SC"/>
        <i/>
        <color rgb="FF595959"/>
        <sz val="10.0"/>
      </rPr>
      <t>数据更新：</t>
    </r>
    <r>
      <rPr>
        <rFont val="Arial"/>
        <i/>
        <color rgb="FF595959"/>
        <sz val="10.0"/>
      </rPr>
      <t>2026-04-26</t>
    </r>
    <r>
      <rPr>
        <rFont val="Noto Sans CJK SC"/>
        <i/>
        <color rgb="FF595959"/>
        <sz val="10.0"/>
      </rPr>
      <t xml:space="preserve">　　共 </t>
    </r>
    <r>
      <rPr>
        <rFont val="Arial"/>
        <i/>
        <color rgb="FF595959"/>
        <sz val="10.0"/>
      </rPr>
      <t xml:space="preserve">402 </t>
    </r>
    <r>
      <rPr>
        <rFont val="Noto Sans CJK SC"/>
        <i/>
        <color rgb="FF595959"/>
        <sz val="10.0"/>
      </rPr>
      <t>个零件型号　　含税换算税率：</t>
    </r>
    <r>
      <rPr>
        <rFont val="Arial"/>
        <i/>
        <color rgb="FF595959"/>
        <sz val="10.0"/>
      </rPr>
      <t>13%</t>
    </r>
  </si>
  <si>
    <r>
      <rPr>
        <rFont val="Arial"/>
        <b/>
        <color rgb="FFFFFFFF"/>
        <sz val="10.0"/>
      </rPr>
      <t>OE</t>
    </r>
    <r>
      <rPr>
        <rFont val="Noto Sans CJK SC"/>
        <b/>
        <color rgb="FFFFFFFF"/>
        <sz val="10.0"/>
      </rPr>
      <t>编号</t>
    </r>
  </si>
  <si>
    <r>
      <rPr>
        <rFont val="Arial"/>
        <b/>
        <color rgb="FFFFFFFF"/>
        <sz val="10.0"/>
      </rPr>
      <t>OE2/</t>
    </r>
    <r>
      <rPr>
        <rFont val="Noto Sans CJK SC"/>
        <b/>
        <color rgb="FFFFFFFF"/>
        <sz val="10.0"/>
      </rPr>
      <t>车型</t>
    </r>
  </si>
  <si>
    <r>
      <rPr>
        <rFont val="Arial"/>
        <b/>
        <color rgb="FFFFFFFF"/>
        <sz val="10.0"/>
      </rPr>
      <t>OE3/</t>
    </r>
    <r>
      <rPr>
        <rFont val="Noto Sans CJK SC"/>
        <b/>
        <color rgb="FFFFFFFF"/>
        <sz val="10.0"/>
      </rPr>
      <t>车型</t>
    </r>
  </si>
  <si>
    <t>惠华报价</t>
  </si>
  <si>
    <t>沃勒含税</t>
  </si>
  <si>
    <t>玉旋含税</t>
  </si>
  <si>
    <t>神航含税</t>
  </si>
  <si>
    <t>立众含税</t>
  </si>
  <si>
    <t>约翰含税</t>
  </si>
  <si>
    <t>华工含税</t>
  </si>
  <si>
    <r>
      <rPr>
        <rFont val="Noto Sans CJK SC"/>
        <b/>
        <color rgb="FFFFFFFF"/>
        <sz val="10.0"/>
      </rPr>
      <t>缤元</t>
    </r>
    <r>
      <rPr>
        <rFont val="Arial"/>
        <b/>
        <color rgb="FFFFFFFF"/>
        <sz val="10.0"/>
      </rPr>
      <t>(</t>
    </r>
    <r>
      <rPr>
        <rFont val="Noto Sans CJK SC"/>
        <b/>
        <color rgb="FFFFFFFF"/>
        <sz val="10.0"/>
      </rPr>
      <t>含税换算</t>
    </r>
    <r>
      <rPr>
        <rFont val="Arial"/>
        <b/>
        <color rgb="FFFFFFFF"/>
        <sz val="10.0"/>
      </rPr>
      <t>)</t>
    </r>
  </si>
  <si>
    <r>
      <rPr>
        <rFont val="Noto Sans CJK SC"/>
        <b/>
        <color rgb="FFFFFFFF"/>
        <sz val="10.0"/>
      </rPr>
      <t>不凡</t>
    </r>
    <r>
      <rPr>
        <rFont val="Arial"/>
        <b/>
        <color rgb="FFFFFFFF"/>
        <sz val="10.0"/>
      </rPr>
      <t>(</t>
    </r>
    <r>
      <rPr>
        <rFont val="Noto Sans CJK SC"/>
        <b/>
        <color rgb="FFFFFFFF"/>
        <sz val="10.0"/>
      </rPr>
      <t>含税换算</t>
    </r>
    <r>
      <rPr>
        <rFont val="Arial"/>
        <b/>
        <color rgb="FFFFFFFF"/>
        <sz val="10.0"/>
      </rPr>
      <t>)</t>
    </r>
  </si>
  <si>
    <t>最低含税价</t>
  </si>
  <si>
    <t>最低价供应商</t>
  </si>
  <si>
    <t>报价供应商数</t>
  </si>
  <si>
    <t>15100-P2A-A01</t>
  </si>
  <si>
    <t>15100-P2A-003</t>
  </si>
  <si>
    <t>OPH-802</t>
  </si>
  <si>
    <t>15100-P7A-003</t>
  </si>
  <si>
    <t>OP8026</t>
  </si>
  <si>
    <t>15100-PE0-030</t>
  </si>
  <si>
    <t>OP8001</t>
  </si>
  <si>
    <t>15100-PWA-003</t>
  </si>
  <si>
    <t>15100-PM3-000</t>
  </si>
  <si>
    <t>15100-P72-A01</t>
  </si>
  <si>
    <t>OP5094</t>
  </si>
  <si>
    <t>1064A035</t>
  </si>
  <si>
    <t>OP3510</t>
  </si>
  <si>
    <t>21310-21000</t>
  </si>
  <si>
    <t>OP3511</t>
  </si>
  <si>
    <t>21310-21030</t>
  </si>
  <si>
    <t>MD181583</t>
  </si>
  <si>
    <t>21340-42501</t>
  </si>
  <si>
    <t>MN137803</t>
  </si>
  <si>
    <t>MB1383</t>
  </si>
  <si>
    <t>OP5005</t>
  </si>
  <si>
    <t>MD012335</t>
  </si>
  <si>
    <t>MD034060</t>
  </si>
  <si>
    <t>MD041280</t>
  </si>
  <si>
    <t>MD110233</t>
  </si>
  <si>
    <t>OP5040</t>
  </si>
  <si>
    <t>MD154258</t>
  </si>
  <si>
    <t>OP5010</t>
  </si>
  <si>
    <t>MD170852</t>
  </si>
  <si>
    <t>OP5033</t>
  </si>
  <si>
    <t>MD184705</t>
  </si>
  <si>
    <t>OP1541</t>
  </si>
  <si>
    <t>MD194001</t>
  </si>
  <si>
    <t>OP5052</t>
  </si>
  <si>
    <t>MD194007</t>
  </si>
  <si>
    <t>OP5041</t>
  </si>
  <si>
    <t>MD308625</t>
  </si>
  <si>
    <t>OP5061</t>
  </si>
  <si>
    <t>MD332352</t>
  </si>
  <si>
    <t>OP5061-2</t>
  </si>
  <si>
    <t>MD332354</t>
  </si>
  <si>
    <t>OP5051</t>
  </si>
  <si>
    <t>MD342095</t>
  </si>
  <si>
    <t>OPM-819</t>
  </si>
  <si>
    <t>MD363751</t>
  </si>
  <si>
    <t>L321-0023A</t>
  </si>
  <si>
    <t>MD364254</t>
  </si>
  <si>
    <t>MD322509</t>
  </si>
  <si>
    <t>MD366260</t>
  </si>
  <si>
    <t>OP5042</t>
  </si>
  <si>
    <t>MN149579</t>
  </si>
  <si>
    <t>OP5021</t>
  </si>
  <si>
    <t>MN149598</t>
  </si>
  <si>
    <t>MD327450</t>
  </si>
  <si>
    <t>OPMI24</t>
  </si>
  <si>
    <t>ME204053</t>
  </si>
  <si>
    <t>L331-0001A</t>
  </si>
  <si>
    <t>13500-4M500</t>
  </si>
  <si>
    <t>NS1338</t>
  </si>
  <si>
    <t>13500-5M000</t>
  </si>
  <si>
    <t>OP5511</t>
  </si>
  <si>
    <t>15010-01M00</t>
  </si>
  <si>
    <t>OP5541</t>
  </si>
  <si>
    <t>15010-0W001</t>
  </si>
  <si>
    <t>OP5506</t>
  </si>
  <si>
    <t>15010-21001</t>
  </si>
  <si>
    <t>OP5530</t>
  </si>
  <si>
    <t>15010-40F00</t>
  </si>
  <si>
    <t>L331-0017A</t>
  </si>
  <si>
    <t>15010-43G04</t>
  </si>
  <si>
    <t>OP5517</t>
  </si>
  <si>
    <t>15010-7S00A</t>
  </si>
  <si>
    <t>OP5569</t>
  </si>
  <si>
    <t>15010-7Y000</t>
  </si>
  <si>
    <t>OP5502</t>
  </si>
  <si>
    <t>15010-86G00</t>
  </si>
  <si>
    <t>OP5509</t>
  </si>
  <si>
    <t>15010-V0300</t>
  </si>
  <si>
    <t>OP5568</t>
  </si>
  <si>
    <t>MA8000</t>
  </si>
  <si>
    <t>13500-53Y00</t>
  </si>
  <si>
    <t>15010-EM30B</t>
  </si>
  <si>
    <t>15010-EA200</t>
  </si>
  <si>
    <t>11301-75021</t>
  </si>
  <si>
    <t>11301-75030</t>
  </si>
  <si>
    <t>11302-35010</t>
  </si>
  <si>
    <t>11310-0C020</t>
  </si>
  <si>
    <t>11310-31012</t>
  </si>
  <si>
    <t>11310-31014</t>
  </si>
  <si>
    <t>11310-31030</t>
  </si>
  <si>
    <t>11310-OP040</t>
  </si>
  <si>
    <t>15100-0D021</t>
  </si>
  <si>
    <t>15100-11050</t>
  </si>
  <si>
    <t>15100-15020</t>
  </si>
  <si>
    <t>15100-15060</t>
  </si>
  <si>
    <t>15100-21030</t>
  </si>
  <si>
    <t>15100-21040</t>
  </si>
  <si>
    <t>15100-22041</t>
  </si>
  <si>
    <t>15100-22040</t>
  </si>
  <si>
    <t>15100-28020</t>
  </si>
  <si>
    <t>15100-35020</t>
  </si>
  <si>
    <t>0t010 37010</t>
  </si>
  <si>
    <t>15100-37030</t>
  </si>
  <si>
    <t>15100-50050</t>
  </si>
  <si>
    <t>15100-74010</t>
  </si>
  <si>
    <t>15100-74030</t>
  </si>
  <si>
    <t>15102-66020</t>
  </si>
  <si>
    <t>15103-31050</t>
  </si>
  <si>
    <t>15103-75020</t>
  </si>
  <si>
    <t>TA1273</t>
  </si>
  <si>
    <t>15100-97401</t>
  </si>
  <si>
    <t>OP7012</t>
  </si>
  <si>
    <t>15100-B0020</t>
  </si>
  <si>
    <t>11310-38060</t>
  </si>
  <si>
    <t>1060A217</t>
  </si>
  <si>
    <t>15100 70030</t>
  </si>
  <si>
    <t>15100 70050</t>
  </si>
  <si>
    <t>15100 64041</t>
  </si>
  <si>
    <t>15100 15080</t>
  </si>
  <si>
    <t>15100 74050</t>
  </si>
  <si>
    <t>15100 11110</t>
  </si>
  <si>
    <t>me014603</t>
  </si>
  <si>
    <t>15100-28030</t>
  </si>
  <si>
    <t>15100-61010</t>
  </si>
  <si>
    <t>15100-71010</t>
  </si>
  <si>
    <t>16100-65D00</t>
  </si>
  <si>
    <t>9L3Z-6600-A</t>
  </si>
  <si>
    <t>8-97075-283-0</t>
  </si>
  <si>
    <t>M143</t>
  </si>
  <si>
    <t>03C115105AG</t>
  </si>
  <si>
    <t>me014600</t>
  </si>
  <si>
    <t>150106249R</t>
  </si>
  <si>
    <t>15010-AD200</t>
  </si>
  <si>
    <t>16100-79G70</t>
  </si>
  <si>
    <t>26100-41700</t>
  </si>
  <si>
    <t>481H-1011030BA</t>
  </si>
  <si>
    <t>026115105B</t>
  </si>
  <si>
    <t>H07C</t>
  </si>
  <si>
    <t>11310-66020</t>
  </si>
  <si>
    <t>15100-0t010</t>
  </si>
  <si>
    <t>04e115105ae</t>
  </si>
  <si>
    <t>24110546 24117916 24105063</t>
  </si>
  <si>
    <t>HL3Z6600A</t>
  </si>
  <si>
    <t>1011010-481H</t>
  </si>
  <si>
    <t>06L121111HN</t>
  </si>
  <si>
    <t>电子水泵总成</t>
  </si>
  <si>
    <t>25195117N</t>
  </si>
  <si>
    <t>机油泵</t>
  </si>
  <si>
    <t>05047992ACN-R</t>
  </si>
  <si>
    <t>026-121-010FN</t>
  </si>
  <si>
    <t>水泵</t>
  </si>
  <si>
    <t>06H121026TN</t>
  </si>
  <si>
    <t>水泵总成</t>
  </si>
  <si>
    <t>68127987AKN</t>
  </si>
  <si>
    <r>
      <rPr>
        <rFont val="Noto Sans CJK SC"/>
        <color theme="1"/>
        <sz val="9.0"/>
      </rPr>
      <t>机油泵</t>
    </r>
    <r>
      <rPr>
        <rFont val="Arial"/>
        <color theme="1"/>
        <sz val="9.0"/>
      </rPr>
      <t>/</t>
    </r>
    <r>
      <rPr>
        <rFont val="Noto Sans CJK SC"/>
        <color theme="1"/>
        <sz val="9.0"/>
      </rPr>
      <t>平衡轴组件</t>
    </r>
  </si>
  <si>
    <t>68046026AAN</t>
  </si>
  <si>
    <t>03C121004JN</t>
  </si>
  <si>
    <t>11517586925N</t>
  </si>
  <si>
    <t>电子水泵</t>
  </si>
  <si>
    <t>11517511221N</t>
  </si>
  <si>
    <t>机械水泵</t>
  </si>
  <si>
    <t>md025550</t>
  </si>
  <si>
    <t>15010-0934R</t>
  </si>
  <si>
    <t>15010-3110R</t>
  </si>
  <si>
    <t>15110-1811</t>
  </si>
  <si>
    <t>H07D</t>
  </si>
  <si>
    <t>1-11310-199-0</t>
  </si>
  <si>
    <t xml:space="preserve">6BG1 </t>
  </si>
  <si>
    <t>1-13671-226-0</t>
  </si>
  <si>
    <t>1-13100-204-0</t>
  </si>
  <si>
    <t>6BD1</t>
  </si>
  <si>
    <t>8-94395-564-3</t>
  </si>
  <si>
    <t>6HH1</t>
  </si>
  <si>
    <t>8-94395-564-1</t>
  </si>
  <si>
    <t>15110-1382</t>
  </si>
  <si>
    <t>EH700</t>
  </si>
  <si>
    <t>11310-0C010</t>
  </si>
  <si>
    <t>1TR</t>
  </si>
  <si>
    <t>11301-58040</t>
  </si>
  <si>
    <t>14B</t>
  </si>
  <si>
    <t>11301-56020</t>
  </si>
  <si>
    <t>11301-58010</t>
  </si>
  <si>
    <t>15B</t>
  </si>
  <si>
    <t>11301-58030</t>
  </si>
  <si>
    <t>11310-75071</t>
  </si>
  <si>
    <t>11310-75061</t>
  </si>
  <si>
    <r>
      <rPr>
        <rFont val="Arial"/>
        <color theme="1"/>
        <sz val="9.0"/>
      </rPr>
      <t>1tr</t>
    </r>
    <r>
      <rPr>
        <rFont val="Noto Sans CJK SC"/>
        <color theme="1"/>
        <sz val="9.0"/>
      </rPr>
      <t>？</t>
    </r>
  </si>
  <si>
    <t>11310-0Y010</t>
  </si>
  <si>
    <t>1NR</t>
  </si>
  <si>
    <t>11301-56031</t>
  </si>
  <si>
    <t>11301-56030</t>
  </si>
  <si>
    <t>sh01-14-100a</t>
  </si>
  <si>
    <t>11301-75010</t>
  </si>
  <si>
    <t>11310-75050</t>
  </si>
  <si>
    <t>11310-75020</t>
  </si>
  <si>
    <t>11320-30020</t>
  </si>
  <si>
    <t>ME014603</t>
  </si>
  <si>
    <t>ME014600</t>
  </si>
  <si>
    <t>15100-31030</t>
  </si>
  <si>
    <t>15100-31040</t>
  </si>
  <si>
    <t>TA-1748</t>
  </si>
  <si>
    <t>0E010</t>
  </si>
  <si>
    <t>11301-17020</t>
  </si>
  <si>
    <t>1hz</t>
  </si>
  <si>
    <t>BK2Q-6600-AC</t>
  </si>
  <si>
    <t>11321-0L010</t>
  </si>
  <si>
    <t>97069-738 (1/2/3)</t>
  </si>
  <si>
    <t>4JB1 / JAC48</t>
  </si>
  <si>
    <t>4JG28</t>
  </si>
  <si>
    <t>ME-014600</t>
  </si>
  <si>
    <t>4D32</t>
  </si>
  <si>
    <t>94393-830</t>
  </si>
  <si>
    <t>15110-1631</t>
  </si>
  <si>
    <t>15110-1781</t>
  </si>
  <si>
    <t>1-13100244</t>
  </si>
  <si>
    <t>6BD1 (L1)</t>
  </si>
  <si>
    <t>15110-1461</t>
  </si>
  <si>
    <t>EF750</t>
  </si>
  <si>
    <t>15110-0300</t>
  </si>
  <si>
    <t>F20C</t>
  </si>
  <si>
    <t>15110-1521</t>
  </si>
  <si>
    <t>W04D</t>
  </si>
  <si>
    <t>15110-1542</t>
  </si>
  <si>
    <t>W06D</t>
  </si>
  <si>
    <t>ME-201735</t>
  </si>
  <si>
    <t>4M40</t>
  </si>
  <si>
    <t>137710</t>
  </si>
  <si>
    <t>4D33</t>
  </si>
  <si>
    <t>122820</t>
  </si>
  <si>
    <t>4D35</t>
  </si>
  <si>
    <t>ME-104475</t>
  </si>
  <si>
    <t>6DS7</t>
  </si>
  <si>
    <t>26100-41710</t>
  </si>
  <si>
    <t>4D30</t>
  </si>
  <si>
    <t>ME-034664 (48T)</t>
  </si>
  <si>
    <t>6D14</t>
  </si>
  <si>
    <t>ME-034720 (48T)</t>
  </si>
  <si>
    <t>6D15</t>
  </si>
  <si>
    <t>13500 5M00A</t>
  </si>
  <si>
    <t>23300-2G510</t>
  </si>
  <si>
    <t>23300-2G400</t>
  </si>
  <si>
    <t>21310-03900</t>
  </si>
  <si>
    <t>21310-2C200</t>
  </si>
  <si>
    <t>21350-2A101</t>
  </si>
  <si>
    <t>OM646
6111810201
6461802201
6021802201
6021802501</t>
  </si>
  <si>
    <t>2005 MERCEDES SPRINTER VITO C220 CDI 2.5D2.2MAXION F1000/S10/RANG/</t>
  </si>
  <si>
    <t>MD-139643</t>
  </si>
  <si>
    <t xml:space="preserve">MIRAGE 4G15
PRECIS G15B
PRECIS G4AJ
</t>
  </si>
  <si>
    <t>MD-012299
MD-141008</t>
  </si>
  <si>
    <t xml:space="preserve">
PLYMOUTH COLT
DODGE COLT</t>
  </si>
  <si>
    <t xml:space="preserve">CIELO DOHC
LEMANS(940101)
ESPERO SOHC
ESPERO DOHC </t>
  </si>
  <si>
    <t>90231887
90273981
93440777
96285525
646029</t>
  </si>
  <si>
    <t xml:space="preserve">ASTRAMAX VANS
ASTRA-BELMONT
CAVALIER
NOVA ENG14NV </t>
  </si>
  <si>
    <t>0646041
93293030
90412744
90570919
90541505</t>
  </si>
  <si>
    <t>LEMANS SOHC
CORAS CIELO
CAVALIER 1600CC 1995-1998 16SV DAEWOO G15MF</t>
  </si>
  <si>
    <t xml:space="preserve">
96350159
96351059
</t>
  </si>
  <si>
    <t>CIELO SOHC
LEMANS(960807)
LANOS 1.3 SOHC
LANOS 1.5 SOHC
NUBIRA(301747)</t>
  </si>
  <si>
    <t xml:space="preserve">
96386934
</t>
  </si>
  <si>
    <t>LANOS DOHC
NUBIRA II 1.5
KALOS 1.5 SOHC
LACETTI 1.5/1.6
GENTRA 1.5 SOHC</t>
  </si>
  <si>
    <t xml:space="preserve">
96351893
</t>
  </si>
  <si>
    <t>ESPERO DOHC(960807)
CIELO DOHC(960807)</t>
  </si>
  <si>
    <t xml:space="preserve">
94580158
</t>
  </si>
  <si>
    <t>TICO 
MATIZ
DAMAS
LABBO</t>
  </si>
  <si>
    <t>KALOS 1.2</t>
  </si>
  <si>
    <t>90570921
90411568
90295214
0646030
0646032</t>
  </si>
  <si>
    <t>NUBIRA X20SE
ASTRA/BELMONT
CAVALIER CARLTON 16SH 18SE  20NE</t>
  </si>
  <si>
    <t>90570925
90411567
8-92067276-0</t>
  </si>
  <si>
    <t>GM ISUZU TFS30 22LE</t>
  </si>
  <si>
    <t xml:space="preserve">
93.377.141
93377141
</t>
  </si>
  <si>
    <t>OPEL CORSA MFI 2004-2008 1800CC P/LARGA</t>
  </si>
  <si>
    <t>PRINCE
NUBIRA 2.0 DOHC
NUBIRA II DOHC
ESPERO 2.0</t>
  </si>
  <si>
    <t>REZZO
NUBIRA 1.8 DOHC
NUBIRA 2.0 DOHC
LEGANZA
MAGNUS</t>
  </si>
  <si>
    <t xml:space="preserve">
7085035
</t>
  </si>
  <si>
    <t>CORSA SEDAN
CORSA HATCH 1.8 NOFU 8V
MERIVA  1.8
MONTANA 1.8</t>
  </si>
  <si>
    <t>L310-14-100A
L310-14-100D
L310-14-100J</t>
  </si>
  <si>
    <t>ECOSPORT
MONDO
MAZDA 3
MAZDA 6</t>
  </si>
  <si>
    <t>1S7G-6600AA</t>
  </si>
  <si>
    <t>RANGER ARGENTINA 1998-2003 FORD MONDEO
ECOSPORT</t>
  </si>
  <si>
    <t>E580-14-010
E580-14-010A/KIN
E580-14-100A 
E301-14-100A</t>
  </si>
  <si>
    <t>FORD LASER 1.3/1.5 1986-1989</t>
  </si>
  <si>
    <t>F2BZ-6600A
F6BZ-6600AA</t>
  </si>
  <si>
    <t>FORD FESTIVA B3
FORD ASPIRE
1989-1993 1400CC</t>
  </si>
  <si>
    <t>E9GZ6600A</t>
  </si>
  <si>
    <t>FORD IMPORTS
FORD FESTIVA B3
FORD TRACER B6</t>
  </si>
  <si>
    <t>XS6E-6600-AD</t>
  </si>
  <si>
    <t>W/PULLEY
FORD KA 1.6L
1999-2002 1600CC</t>
  </si>
  <si>
    <t>XS6E-6600AG
XS6E-6312-BA</t>
  </si>
  <si>
    <t>W/O PULLEY
FORD KA 1.6L
COURIER,FIESTA
GEAR "U"</t>
  </si>
  <si>
    <t>XS6E-6600-AC
XS6E-6600AC</t>
  </si>
  <si>
    <t>FORD KA 1.6L
COURIER,FIESTA</t>
  </si>
  <si>
    <t>XM34 6600 AC
XM35 6600 AD
1470595</t>
  </si>
  <si>
    <t>Ranger 2.5D
DTD
ENDEVER 2.5TD</t>
  </si>
  <si>
    <t>1001.C6
1001.F2
3M5Q-6600-AE
72804801</t>
  </si>
  <si>
    <t>EIESTA IV
FOCUS II
PEUGEOT 206
207 306 307 308 407</t>
  </si>
  <si>
    <t>24402722
93302983
90570980
93287137
24406585</t>
  </si>
  <si>
    <t>BUICK VG 
GM VA07
VECTRA 
SZNTRA 
ZAFIRA</t>
  </si>
  <si>
    <t>GM MATIZ 1.0 2004-2008 1000CC</t>
  </si>
  <si>
    <t>90541506
90442362
90295217
646042
646001</t>
  </si>
  <si>
    <t>ASTRA C18NZ C18SEL 1993-1995 VECTRA X16XE X16XEL</t>
  </si>
  <si>
    <t xml:space="preserve">
90295214
0646030
0646032
</t>
  </si>
  <si>
    <t>90325074
90295214
90233175
646030
646032</t>
  </si>
  <si>
    <t>ASTRRA/BELMONT
CAVALIER/CARLTON 16SH 18SE 18SV 18NV 18SHE 20NE 20SEH</t>
  </si>
  <si>
    <t>90570921
90411568</t>
  </si>
  <si>
    <t>GM CHEVROLET 
VECTRA B16V
GMC 2.0L,2.2L
DOHC OPEL X20
C20E</t>
  </si>
  <si>
    <t>BUICK GM 2.5 3.0</t>
  </si>
  <si>
    <t>15100-PAA-A00
15100-POA-A01
15100-PTO-000
15100-P12-000</t>
  </si>
  <si>
    <t>ACCORD VETC
F22B1 2156CC
F23A4 2254CC
F22A6 F23A5
F22A6 2200CC</t>
  </si>
  <si>
    <t>15100-REA-Z01
15100-PWA-003
15100-REO-003
15100-RB0-003</t>
  </si>
  <si>
    <t>HONDA FIT 
CITY 1500CC
1300CC
JAZZ L12A1
L13A1</t>
  </si>
  <si>
    <t>15100-P2A-A01
15100-P2A-003
15100-VC1-000</t>
  </si>
  <si>
    <t>CIVIC HX
CIVIC K8
CITY</t>
  </si>
  <si>
    <t>15100-PM3-000
15100-P01-003
15100-P06-A01
15100-PMA-A01
15100-PM5-000</t>
  </si>
  <si>
    <t>CIVIC CRX
D15 B1 B2 
CRX HF K6
CIVEC D15Z1</t>
  </si>
  <si>
    <t xml:space="preserve">21340-42500   </t>
  </si>
  <si>
    <t>GALLOPER 2.5
STAREX D48
POTER(960301-990712)
GRACE(960120)</t>
  </si>
  <si>
    <t xml:space="preserve">21340-42501   </t>
  </si>
  <si>
    <t>PORTER(960301-010918)GRANCE
GALLOPER
TRERRACAN</t>
  </si>
  <si>
    <t>21340-42505  
MD155610
MD-155610</t>
  </si>
  <si>
    <t>GALLOPER(010918-020503)PORTER
GAREC(010918-)
4DBA 4D55</t>
  </si>
  <si>
    <t xml:space="preserve">21340-42506   </t>
  </si>
  <si>
    <t>TERRACAN(020503-031205)PORTER
GALLOPER(020503-031201)</t>
  </si>
  <si>
    <t>21340-42800</t>
  </si>
  <si>
    <t>GRACE(0960117)
HYUNDAI H100 D4BB D4BF 1995-1998 H-1</t>
  </si>
  <si>
    <t>21340-42106
21340-42106
21340-42104
21340-42100</t>
  </si>
  <si>
    <t>STAREX/H100 4200 D4BH/GRACE PORTER</t>
  </si>
  <si>
    <t>21310-02500</t>
  </si>
  <si>
    <t>ATOZ 800CC/SANTRO</t>
  </si>
  <si>
    <t xml:space="preserve">21310-02550
23040-02970
</t>
  </si>
  <si>
    <t>MORNING
HYUNDAI G4HG
ATOZ 01MY 98MY
VISTO 01MY
VISTO 99MY</t>
  </si>
  <si>
    <t>21310-02400</t>
  </si>
  <si>
    <t>ATOS 01MY TCI
VISTO 01MY TCI</t>
  </si>
  <si>
    <t xml:space="preserve">21310-21000
21310-21010
</t>
  </si>
  <si>
    <t xml:space="preserve">
EXCEL G4DJ
ELANTRA SOHC</t>
  </si>
  <si>
    <t xml:space="preserve">21310-21030
</t>
  </si>
  <si>
    <t xml:space="preserve">EXCEL SCOUPE
G4AE
</t>
  </si>
  <si>
    <t>21310-22010
21310-22011</t>
  </si>
  <si>
    <t>ACCENT G4FB G4AE
1995-1999 1500CC
G4AE RIO</t>
  </si>
  <si>
    <t>21310-22650
21310-22003</t>
  </si>
  <si>
    <t>ACCENT SOHC
AVANTE SOHC</t>
  </si>
  <si>
    <t>21310-23001
21310-23002
21310-23000</t>
  </si>
  <si>
    <t>BETA ENGINE
TIBURON G4GF
ELANTRE G4CR
ELANTRA G4GF
1965CC 1595CC</t>
  </si>
  <si>
    <t>21310-26800</t>
  </si>
  <si>
    <t xml:space="preserve">PRIDE 05MY 1.4
CERATO 03MY 1.5
CLICK 1.4 1.5
AVANTE XD OOMY 
VERNA DOHC 00MY
</t>
  </si>
  <si>
    <t>21310-26801
21310-26802</t>
  </si>
  <si>
    <t xml:space="preserve">LAVITA 1.6
PRIDE 05MY 1.6
CERATO 1.5 1.6
VERNA HYBRID
CLICK 1.4 1.6
</t>
  </si>
  <si>
    <t xml:space="preserve">
21310-26020
</t>
  </si>
  <si>
    <t>ACCENT DOHC
AVANTE 96MY 1.5 DOHC 
VERNA 00MY 
MPI DOHC</t>
  </si>
  <si>
    <t xml:space="preserve">
21310-26650
</t>
  </si>
  <si>
    <t>VERNA 00MY MPI DOHC LAVITA 1.5
AVANTE XD OOMY 1.5 MPI DOHC CLICK 1.5 DOHC</t>
  </si>
  <si>
    <t xml:space="preserve">OK933-14-100
</t>
  </si>
  <si>
    <t>PRIDE AVELLA
NEW SEPHIA
1.5 SOHC</t>
  </si>
  <si>
    <t xml:space="preserve">OK935-14-100A
</t>
  </si>
  <si>
    <t xml:space="preserve">SEPHTA II 1.5
DOHC SPECTRA
WING/SHUMA
1.5 DOHC
</t>
  </si>
  <si>
    <t xml:space="preserve">
OK30C-14-100
OK30C-14-100C
KK150-14-100B</t>
  </si>
  <si>
    <t>RIO SOHC
SPECTRA 1.5
SOHC</t>
  </si>
  <si>
    <t>OK30F-14-100
OK30F-14-100C
OK30F-14-100D</t>
  </si>
  <si>
    <t>RIO DOHC
SPECTRA 1.5
DOHC</t>
  </si>
  <si>
    <t>21310-02552</t>
  </si>
  <si>
    <t>I10 SELA:34MM</t>
  </si>
  <si>
    <t>OK65A-14-100
OK65A-14-100D
OK65A-14-100E</t>
  </si>
  <si>
    <t>FRONTIER 1 TON
PREGIO BONGOIII
VIDE BONGO 2.7</t>
  </si>
  <si>
    <t>26100-4A000</t>
  </si>
  <si>
    <t>SORENTO 02MY
( -041003)</t>
  </si>
  <si>
    <t>26100-4A010
26100-4A011
26100-4A012</t>
  </si>
  <si>
    <t xml:space="preserve">
GRAND STAREX 
LIBERO
PORTER II
</t>
  </si>
  <si>
    <t>26110-4A701
26110-4A710</t>
  </si>
  <si>
    <t>HR D4CB
HR 2.5 16V 12/…</t>
  </si>
  <si>
    <t>21310-25001
21310-2G011
21310-2G001</t>
  </si>
  <si>
    <t>NF SONATA
SONATA 8</t>
  </si>
  <si>
    <t>21310-2C001</t>
  </si>
  <si>
    <t>GENESIS COUPE 2.0T</t>
  </si>
  <si>
    <t>KIA KS BONGO 3
H1 H300 I800
H100 STAREX
07-14</t>
  </si>
  <si>
    <t>ORFB3-14-100
ORFB3-14-100A
ORFB3-14-100B
RFB3-14-100</t>
  </si>
  <si>
    <t>BESTA 2.2 
SPORTAGE 2.2TCI</t>
  </si>
  <si>
    <t>21310-38062</t>
  </si>
  <si>
    <t>OPTIMA 2.DOHC
OPTIMA 1.8
REGAL 2.0 DOHC
EF SONATA 1.8</t>
  </si>
  <si>
    <t>21310-37100</t>
  </si>
  <si>
    <t>EF SONATA 2.5
OPTIMA 2.5
OPIRUS 2.7 DOHC
RIGAL 2.5 DOHC
TUSCANI 2.7</t>
  </si>
  <si>
    <t>26100-45010
26100-45001</t>
  </si>
  <si>
    <t>COUNTY MIGHTY
D4DB
HD65
HD72
HD78</t>
  </si>
  <si>
    <t>21350-2B000
21350-2B001</t>
  </si>
  <si>
    <t>I35
ELANTRA
FORTE</t>
  </si>
  <si>
    <t>21350-2B701
21350-2B702
21350-2B703</t>
  </si>
  <si>
    <t xml:space="preserve">ELANTRA 17-21
VELOSTER 12-21
ACCENT 12-19
FORTE RIO SOUL
OPTIME 1.6L
</t>
  </si>
  <si>
    <t>21310-03010</t>
  </si>
  <si>
    <t>I-20
2012-2014
HMC 1.2 BENZINLI</t>
  </si>
  <si>
    <t>21310-03100</t>
  </si>
  <si>
    <t xml:space="preserve">I20 2012-2015
SONRASI
1.2CC 16V </t>
  </si>
  <si>
    <t>21310-03150</t>
  </si>
  <si>
    <t>I-10 I10 1.2</t>
  </si>
  <si>
    <t>21310-03300</t>
  </si>
  <si>
    <t>1200 CC - KAPPA
4 SPEED 2WD
5 SPEED 2WD</t>
  </si>
  <si>
    <t>21310-03800</t>
  </si>
  <si>
    <t>1400 CC
L4 - GAS
ECO</t>
  </si>
  <si>
    <t>1400 CC - KAPPA
DOHC - MPI
4 SPEED 2WD</t>
  </si>
  <si>
    <t>21310-03910
21310-03911</t>
  </si>
  <si>
    <t>SOLARIS 1400 CC
KAPPA GDI
ENANTRA AD</t>
  </si>
  <si>
    <t>21310-27000</t>
  </si>
  <si>
    <t xml:space="preserve">TUCSON 2.0 TCI
CARENS/X-TREX
NEW SPORTAGE 
TRAJET XG
SANTAFE TCI
</t>
  </si>
  <si>
    <t>21310-27010</t>
  </si>
  <si>
    <r>
      <rPr>
        <rFont val="Arial"/>
        <color theme="1"/>
        <sz val="9.0"/>
      </rPr>
      <t xml:space="preserve">NEW SPORTAGE 2.0 TCI
(050929-  </t>
    </r>
    <r>
      <rPr>
        <rFont val="Noto Sans CJK SC"/>
        <color theme="1"/>
        <sz val="9.0"/>
      </rPr>
      <t>）</t>
    </r>
    <r>
      <rPr>
        <rFont val="Arial"/>
        <color theme="1"/>
        <sz val="9.0"/>
      </rPr>
      <t xml:space="preserve">
(051001-  </t>
    </r>
    <r>
      <rPr>
        <rFont val="Noto Sans CJK SC"/>
        <color theme="1"/>
        <sz val="9.0"/>
      </rPr>
      <t>）</t>
    </r>
  </si>
  <si>
    <t>21310-27400</t>
  </si>
  <si>
    <t xml:space="preserve">TUCSON 2.0 TCI
(041122-050830)
NEW SPORTAGE 2.0 TCI
(050901-050929)
</t>
  </si>
  <si>
    <t>21310-27410</t>
  </si>
  <si>
    <t>LOTZE 2.0 TCI
(051101-   )
GRANDEUR XG 2.2
CARENS 2.0 SOHC
CARENS/X-TREK</t>
  </si>
  <si>
    <t>21310-27500</t>
  </si>
  <si>
    <t>ACCENT 03-05 CRD 1.5L
GETZ DIZEL 
02-06 1.5 CRDI</t>
  </si>
  <si>
    <t>21310-27060</t>
  </si>
  <si>
    <t>2.2 CRDI
2.2 LTR
D4EA-VGT
D4EB-V 
16V SOHC 2.0</t>
  </si>
  <si>
    <t>96440211
4811533</t>
  </si>
  <si>
    <t>Z20DM Z20DMH
ANTARA CATIVE 2.0 DIESEL 2006 ON.</t>
  </si>
  <si>
    <t>Z20S VCDI 16V
2.0 LTR</t>
  </si>
  <si>
    <t>OVN01-14100</t>
  </si>
  <si>
    <t>BESTA 2700CC</t>
  </si>
  <si>
    <t>21310-39011</t>
  </si>
  <si>
    <t>GRANDEUR XG 3.0
OPIRUS 3.0
EQUUS  3.0</t>
  </si>
  <si>
    <t>21310-39511</t>
  </si>
  <si>
    <t>TERRACAN 3.5
SORENTO 02MY 3.5 DOHC 
ORIRUS 3.5
EQUUS  3.5</t>
  </si>
  <si>
    <t>21310-3E001</t>
  </si>
  <si>
    <t>GRAND CARNIVAL 2.7 MU(0611- )
OPIRUS 06MY 2.7
2.7 DOHC G6EA
2.7 LPI( -0610)</t>
  </si>
  <si>
    <t>21310-3E100</t>
  </si>
  <si>
    <t>SANTA FE 2.7L
2009 2006-2010
OPTIMA RONDO 2.7</t>
  </si>
  <si>
    <t>21310-3C200
21310-3C300
21310-3C100</t>
  </si>
  <si>
    <t>LAMDA ENGINE
OPIRUS 3.3/3.8
EQUSS  3.8/3.8
NF SONATA  3.3
GRANDEUR3.8/3.8</t>
  </si>
  <si>
    <t>21310-3CBAO
M524</t>
  </si>
  <si>
    <t>Genesis Kia K900 Sorento 
3.3L 3.5L</t>
  </si>
  <si>
    <t>26100-4X100
261004X100
OK551-14-100</t>
  </si>
  <si>
    <t xml:space="preserve">HYUNDAI KIA CARNIVAL 1999-2006.
</t>
  </si>
  <si>
    <t>26100-4X200</t>
  </si>
  <si>
    <t>PREGIO VAN
Carnival 2.9
CRDI Diesel J3</t>
  </si>
  <si>
    <t>21310-2F311</t>
  </si>
  <si>
    <t>SPORTAGER 14-16
IX35 10-14</t>
  </si>
  <si>
    <t>G4KN 2.5L</t>
  </si>
  <si>
    <t>G4NL 2.0L</t>
  </si>
  <si>
    <t>21350-2E021</t>
  </si>
  <si>
    <t>Elantra 1.8L Coupe 1.8L GT 1.8L Elantra GT 2.0L ,Soul 2.0L 2012-2013</t>
  </si>
  <si>
    <t>21350-2E030
21350-2E300
21350-2E310
21350-2E350</t>
  </si>
  <si>
    <t>Soul 2.0L Forte 2.0L 1.8LForte5 2.0L Tucson 2.0L 2.4L 
2014-2021.</t>
  </si>
  <si>
    <t xml:space="preserve">21310-3X000
21310-3D000
</t>
  </si>
  <si>
    <t>Fits 1995-2002 Kia Sportage FED 2.0L
RETONA</t>
  </si>
  <si>
    <t>21310-2Y011
21310-2Y010
21310-2Y000</t>
  </si>
  <si>
    <t xml:space="preserve">Sephia 1997-2001
Kia Spectra 00-04 Sephia 98-01 / Replaces </t>
  </si>
  <si>
    <t>8-97136463-0
8971364630</t>
  </si>
  <si>
    <t>6VD1
6VE1</t>
  </si>
  <si>
    <t>897147338
8980175851
097147338
8980175850
L210-0033S</t>
  </si>
  <si>
    <t>4HF1 4HE1 NPR66 4HG1 NKR-66
PS-135</t>
  </si>
  <si>
    <t>8-97232-624-1
8980537770
8982326241
L210-0100S
L210-0099S</t>
  </si>
  <si>
    <t>SH130 CX130 4JJ1 4JK-T
4JJ1-T D-MAX</t>
  </si>
  <si>
    <t>B630-14-100B/F
BP01-14-100
E9GZ-6600A
SEAL:30</t>
  </si>
  <si>
    <t>MAZDA 323 B6 1597CC PROTÉGÉ PB01 6F18 B6 B3 1988-1994 1839CC</t>
  </si>
  <si>
    <t>B3C7E-14-100B/D
BP02-14-100A
F2BZ-6600A
F6BZ-6600A
B35J-10-100</t>
  </si>
  <si>
    <r>
      <rPr>
        <rFont val="Arial"/>
        <color theme="1"/>
        <sz val="9.0"/>
      </rPr>
      <t>MAZDA 323 B3</t>
    </r>
    <r>
      <rPr>
        <rFont val="Noto Sans CJK SC"/>
        <color theme="1"/>
        <sz val="9.0"/>
      </rPr>
      <t>，</t>
    </r>
    <r>
      <rPr>
        <rFont val="Arial"/>
        <color theme="1"/>
        <sz val="9.0"/>
      </rPr>
      <t>B6 MX3 B6
PROTÉGÉ BP02 1839CC 1597CC</t>
    </r>
  </si>
  <si>
    <t>1S7Z-6600AA
L310-14-100A
L310-14-100D
L310-14-100J</t>
  </si>
  <si>
    <t>LF02-14-100</t>
  </si>
  <si>
    <t>MAZDA</t>
  </si>
  <si>
    <t>FORD LASER 1.3/1.5 1986-1989
323 1.3 E3 E5
1500 CC</t>
  </si>
  <si>
    <t>RFB3-14-100D
RF01-14-100A
OK054-14-100B</t>
  </si>
  <si>
    <t>MZ E2200
2200 CC</t>
  </si>
  <si>
    <t>R2S2-14-100
RF1L-14-100B
RF1L-14-100C</t>
  </si>
  <si>
    <t>BONGO DIESEL
B2200
E2000</t>
  </si>
  <si>
    <t>WL01-14100C/E
WL81-14-100A/B
1470595</t>
  </si>
  <si>
    <t>B2500 2500CC
B2900 DIESEL
MPV 2.5 Tdi
B2500D,TD</t>
  </si>
  <si>
    <t xml:space="preserve">ZJ01-14-100
ZJ0114100
Z62214100
Z622-14-100
</t>
  </si>
  <si>
    <t>MAZDA 2 03-19
MAZDA 2 11-14
MAZDA 3 1300CC
MAZDA 3 1600CC</t>
  </si>
  <si>
    <t>1211A021
MD363751
1211A013</t>
  </si>
  <si>
    <t>PAJERO 3.2 24V 95-00 6G74</t>
  </si>
  <si>
    <t>MD175583
MD189778</t>
  </si>
  <si>
    <t>3000GT CYLINDER BLOCK CASE</t>
  </si>
  <si>
    <t>1211A035
1211A039</t>
  </si>
  <si>
    <t>4B11T
LANCER RALLIART
EVOLUTION 10
2008-2015 
X MODELS</t>
  </si>
  <si>
    <t xml:space="preserve">MIRAGE 4G15
PRECIS G15B
PRECIS G4DJ 1990-1994 1468CC
</t>
  </si>
  <si>
    <t xml:space="preserve">
MD171177</t>
  </si>
  <si>
    <t>MIRAGE 1991-1995 1500CC
PLYMOUTH COLT
EAGLE SUMMIT</t>
  </si>
  <si>
    <t xml:space="preserve">
MIRAGE 4G15 1991-1995 1468CC</t>
  </si>
  <si>
    <t>MD-155612</t>
  </si>
  <si>
    <t>MITSUBISHI L-200 1889-1992 2500CC PAJERO MONTERO 1889-1992</t>
  </si>
  <si>
    <t>MD-181581  
MD-306059</t>
  </si>
  <si>
    <t>PAJERO 4D56 4D55 H100
L-039P 1997 2500CC</t>
  </si>
  <si>
    <t>1064A035
1064-A035
MD-1064A035</t>
  </si>
  <si>
    <t>4D56U KA4T
TRITON P-CAR KB4T 2500CC
L200 4D56/55
2005-UP</t>
  </si>
  <si>
    <t>MD-364254
MD364254</t>
  </si>
  <si>
    <t>L200 4D56 HPE</t>
  </si>
  <si>
    <t xml:space="preserve">MD-181583  </t>
  </si>
  <si>
    <t>PAJERO 4D56T L200 
4D55 D4BA 
ROTOR L:13MM</t>
  </si>
  <si>
    <t>MD-303736</t>
  </si>
  <si>
    <t>DET 4D56 2500CC</t>
  </si>
  <si>
    <t>MD-332352</t>
  </si>
  <si>
    <t>MITSUBISHI
LANCER 2001-2002
MIRAGE 1997-2001 1500CC</t>
  </si>
  <si>
    <t>MD-332354</t>
  </si>
  <si>
    <t>MITUSBISHI MITCKIA 4G13 1996</t>
  </si>
  <si>
    <t>MN-149579
MN-149597</t>
  </si>
  <si>
    <t>MITSUBISHI
LANCER 2005</t>
  </si>
  <si>
    <t>ME017484
ME-017484</t>
  </si>
  <si>
    <t>4D34
D4DA
4D33</t>
  </si>
  <si>
    <t>ME204053
ME204054
ME201735
ME201736
ME190587</t>
  </si>
  <si>
    <t>4M40/4M41 3.2DID DIESEL V88/98 PAJERO DELICA FB/FD501</t>
  </si>
  <si>
    <t>MN-137032</t>
  </si>
  <si>
    <t>4G15V</t>
  </si>
  <si>
    <t>ME034664</t>
  </si>
  <si>
    <t>6D16,6D14,6d15,6D17,FM516,PS190
FUSO Timing Gear:48TEECH</t>
  </si>
  <si>
    <t>ME074253</t>
  </si>
  <si>
    <t>6D14 6D16 6SB1 6D15 6D17
FUSO Timing Gear:59TEECH</t>
  </si>
  <si>
    <t>13500-53Y00
13500-53Y01
13500-3S500
13500-70Y00</t>
  </si>
  <si>
    <t>SENTRA NX GA16DE
1991-1994 1597CC
200SE GA16DE</t>
  </si>
  <si>
    <t>13500-53Y03</t>
  </si>
  <si>
    <t>GA15DS
GA16DS
1991-1994 
1400CC</t>
  </si>
  <si>
    <t>15010-EB30A
15010-EB70A
15010-EB301
15010-5X00A
15010-5X00C</t>
  </si>
  <si>
    <t>NAVARA D40 05-UP YD25DDTI
R51 16V DOHC
MARANA ETI</t>
  </si>
  <si>
    <t>15010-3AA0A
15010-1KT1A
15010-BY81A
15010-4LC0A
15010-1HC1C</t>
  </si>
  <si>
    <t>VERSA 2013
LIVNA GRAND
HR15DE  1.2
MICRA IV NOTE</t>
  </si>
  <si>
    <t>15010-43G01
15010-43G04
15010-43G05
15010-43G06</t>
  </si>
  <si>
    <t>ESAEVER TD27 TD25 CABSTAR
KING CAB URVAN
PATHFINDER 2T
TERRANO 2.7T</t>
  </si>
  <si>
    <t>15010-1W401
15010-1W402</t>
  </si>
  <si>
    <t>QD32 QD32ETI
QD32TI 3153CC
FRONTIER NAVARA</t>
  </si>
  <si>
    <t>15010-VB601
15010-VB600
15010-06J02</t>
  </si>
  <si>
    <t>CIVILIAN SAFARI
Y60 WRGY60
TD42</t>
  </si>
  <si>
    <t>90231887
90273981
646029</t>
  </si>
  <si>
    <t xml:space="preserve">ASTRAMAX VANS
ASTRA-BELMONT
CAVALIER
NOVA ENG14NV C14NZ 16SV 1.6L </t>
  </si>
  <si>
    <t>0646132
93293030
93244703
90570919</t>
  </si>
  <si>
    <t>CORSA/KADEIT 1389CC VECTRA 14NV-16NV 16SV ASTRA/BELMONT CAVALIER NOVA</t>
  </si>
  <si>
    <t xml:space="preserve">0646041
90412744
90412984
</t>
  </si>
  <si>
    <t>OPEL
CIELO 
CORSA WIND 1988-1993
LEMAN A15MF</t>
  </si>
  <si>
    <t>96351059
96386460</t>
  </si>
  <si>
    <t>OPEL LANOS A16D DOHC/NUBIRA 1999-2002 1600CC</t>
  </si>
  <si>
    <t>90233175
90295214
90295214
0646030
0646032</t>
  </si>
  <si>
    <t>ASTRA/BELMONT 1598CC CAVALIER/CARLTON ENG 16SH 18SE 18SV 18NV 20NE</t>
  </si>
  <si>
    <t>CORSA 1.6
OPTRA 1.6</t>
  </si>
  <si>
    <t>1001.50
9421102021
LP0496</t>
  </si>
  <si>
    <t>PEUGEOT 106
205 306 309 
405 GEAR:29</t>
  </si>
  <si>
    <t>206 1.6 8V 99/01
29 TEETH GRIVE GEAR</t>
  </si>
  <si>
    <t>1001.C9</t>
  </si>
  <si>
    <t>205 1.4 8V92/98
206 1.4 8V FLEX
207 1.4 8V SW
C3 1.4 8V XTR
206SW 207SW</t>
  </si>
  <si>
    <t>206 1.6 16V 
207 206SW 207SW
307 SEDAN 308 XSARA PICASSO 1.6 16V C3 C4</t>
  </si>
  <si>
    <t xml:space="preserve">1001.56
29 TEETH </t>
  </si>
  <si>
    <t>405 206
29 TEETH GRIVE GEAR</t>
  </si>
  <si>
    <t>1001.56
21 TEETH</t>
  </si>
  <si>
    <t>405 206
21 TEETH GRIVE GEAR</t>
  </si>
  <si>
    <t>306 1.8 8V
405 1.6 8V
XANITIA XSARA PARE 39 TEEHT GRIVE GEAR</t>
  </si>
  <si>
    <t>306 1.8 8V
405 1.6 8V
405 1.8 8V
XSNTIA 1.8 8V
29 TEETH GEAR</t>
  </si>
  <si>
    <t>1001.C7
1001.G0</t>
  </si>
  <si>
    <t xml:space="preserve">PEUGEOT 206
307 308 406 407 607 807
CITROEN C4 C5
EVASLON XSARA </t>
  </si>
  <si>
    <t>16100-70B23-000
16100-70B10-000
16100A70B21-000
16100-70810-000
16100-70B10-000</t>
  </si>
  <si>
    <t>CHERY QQ 0.8
SUZUKI F6</t>
  </si>
  <si>
    <r>
      <rPr>
        <rFont val="Noto Sans CJK SC"/>
        <color theme="1"/>
        <sz val="9.0"/>
      </rPr>
      <t>天津金宏客户</t>
    </r>
    <r>
      <rPr>
        <rFont val="Arial"/>
        <color theme="1"/>
        <sz val="9.0"/>
      </rPr>
      <t>/</t>
    </r>
    <r>
      <rPr>
        <rFont val="Noto Sans CJK SC"/>
        <color theme="1"/>
        <sz val="9.0"/>
      </rPr>
      <t>神航销售价</t>
    </r>
    <r>
      <rPr>
        <rFont val="Arial"/>
        <color theme="1"/>
        <sz val="9.0"/>
      </rPr>
      <t>50</t>
    </r>
    <r>
      <rPr>
        <rFont val="Noto Sans CJK SC"/>
        <color theme="1"/>
        <sz val="9.0"/>
      </rPr>
      <t>元</t>
    </r>
  </si>
  <si>
    <t>16100-60811
16100-60813</t>
  </si>
  <si>
    <t>FUTURA SL413 SE416 VITARA G16 1991 1300CC</t>
  </si>
  <si>
    <t>1025-10015
96065377</t>
  </si>
  <si>
    <t>G-15 GEOK TRACKER BTEEN SIDEKICK</t>
  </si>
  <si>
    <t>16100-82811
16100-82829
91173693
96065384/85
96057367</t>
  </si>
  <si>
    <t>SAMURIA G13BA
SWIFT G13BA
SAMURAI G13A 1990-1995 1298CC 1324CC</t>
  </si>
  <si>
    <t>16100-73001
16100-73002
16100-73003
17400-78101AA</t>
  </si>
  <si>
    <t>ST-100 T2 T5 SL410 SJ410 PRONTO ST308 ST-90 CARRY6</t>
  </si>
  <si>
    <t>16100-84B00</t>
  </si>
  <si>
    <t>K6A
DA64</t>
  </si>
  <si>
    <t>15100-20020
15100-0A010
15100-0A020
15100-0A030
15100-0A040</t>
  </si>
  <si>
    <t>1MZFE 3MZFE
3.0L CAMRY 
6 CYLINDER 
LEXUS ES3000 RX300</t>
  </si>
  <si>
    <t>15100-20050</t>
  </si>
  <si>
    <t>1MZFE 
3MZFE
1998-1999</t>
  </si>
  <si>
    <t>15103-75020
15110-75020</t>
  </si>
  <si>
    <t xml:space="preserve">1RZ 2RZ
TACOMA 1995-2000
4RUNNER 3RZFE
L4 GAS DOHC </t>
  </si>
  <si>
    <t>15100-35020
15100-35030</t>
  </si>
  <si>
    <t>CELICA PICKUP
4RUN 22RE/22R/22REC
1985-1995</t>
  </si>
  <si>
    <t>15100-11050
15100-11020</t>
  </si>
  <si>
    <t>TERCEL 2EL,3E,3EE 1987-1994 1456CC 1300CC</t>
  </si>
  <si>
    <t>15100-11070
15100-11071</t>
  </si>
  <si>
    <t>PASEO 5EFE
4EFE 1497CC
1992-1995</t>
  </si>
  <si>
    <t>15100-11021</t>
  </si>
  <si>
    <t>TERCEL 3E
TERCEL 3EE 1987-1991 1990-1994 1456CC</t>
  </si>
  <si>
    <t>TERCEL 3AC 4AF 2ALC 4ALC AE80 1983-1987 1500CC</t>
  </si>
  <si>
    <t>15100-15040
15100-15050
15100-19015
15100-19025
94855908</t>
  </si>
  <si>
    <t>COROLLA GTS MR2 4AGEC 4AGELC 1988-1997 1587CC</t>
  </si>
  <si>
    <t>15100-15060
94853635
15100-19026
15100-15020</t>
  </si>
  <si>
    <t>COROLLA 4AFE 1993-1997 1587CC GEO,GM,IMPORTS</t>
  </si>
  <si>
    <t>15100-35010</t>
  </si>
  <si>
    <t>CELICA PICKUP
4RUN 22RE/22R
20R 2189CC 2366CC</t>
  </si>
  <si>
    <t>15100-38021
15100-38020</t>
  </si>
  <si>
    <t>15100-11110</t>
  </si>
  <si>
    <t>TECEL PASEO 5EFE 1995-1998 1497CC
TERCEL EL53</t>
  </si>
  <si>
    <t>15100-22041
15100-22040</t>
  </si>
  <si>
    <t>COROLLA 1ZZFE
3ZZFE</t>
  </si>
  <si>
    <t>15100-88600</t>
  </si>
  <si>
    <t xml:space="preserve">2ZZ 2ZZGE 1.8
CELICA 99-05
XRS MATRIX 
CONDITION
</t>
  </si>
  <si>
    <t>15100-15080</t>
  </si>
  <si>
    <t>COROLLA 7AFE 1994-1997 1800CC</t>
  </si>
  <si>
    <t>15100-16070</t>
  </si>
  <si>
    <t>CAOROLLA 4AFE 1994-1997 1800CC</t>
  </si>
  <si>
    <t>15100-97401
15100-23020</t>
  </si>
  <si>
    <t>1SZFE 2SZFE 1.3
K3VE VITZ PLATZ
AVANZA K3-DE
YARIS 2000-2008
1999-2005</t>
  </si>
  <si>
    <t>15100-B1010
15100-B0020
15100-BZ060</t>
  </si>
  <si>
    <t>3SZVE 1500CC
AVANZA VVTI
BB PASSO
SETTE RUSH
2006 2008-UP</t>
  </si>
  <si>
    <t>15100-74060
OPT-076</t>
  </si>
  <si>
    <t>3SFE,4SF,5SFE 2200CC 1992-1999 1998CC
CELICA GTS 3SGELC 2SELC</t>
  </si>
  <si>
    <t xml:space="preserve">15100-74050
</t>
  </si>
  <si>
    <t>3SFE
RAV4 3SFE 1996-2000 1998CC CELICA</t>
  </si>
  <si>
    <t>15100-64041
15100-64042
15100-64020</t>
  </si>
  <si>
    <t>COROLLA 2C CE95 1989-1991</t>
  </si>
  <si>
    <t>11310-0E010
11310-11030</t>
  </si>
  <si>
    <t>HILUX 2.8 16V /FORTUNER/INNOVA DYNA
1GDFTV-2.8L 2GDFTV-2.4L</t>
  </si>
  <si>
    <t>15100-64011
15100-64032
15100-64030</t>
  </si>
  <si>
    <t>COROLLA 1C 1982</t>
  </si>
  <si>
    <t>11311-54050
11311-54020
11311-54060
11311-54051
11311-54052</t>
  </si>
  <si>
    <t>2L 3L 5L
LF-80 HILUX
4runner</t>
  </si>
  <si>
    <t>15100-21030
15100-21031</t>
  </si>
  <si>
    <t xml:space="preserve">1NZ 1NZFE 2NZFE
10V DOHC 1SZFE
309MM
</t>
  </si>
  <si>
    <t xml:space="preserve">15100-OM010
15100-0M020
15100-21042
15100-21040
15100-21050
</t>
  </si>
  <si>
    <t>326MM YARIS 1.5
1NZFE ECHO
CCION XA XB</t>
  </si>
  <si>
    <t>15100-46030</t>
  </si>
  <si>
    <t>1JZGTE JZX110
GS IS JSE10</t>
  </si>
  <si>
    <t>15100-46052
15100-46040
15100-46060
15100-46041
15100-46042</t>
  </si>
  <si>
    <t>2JZ 2JZ-GTE
LEXUS GS
JZA80</t>
  </si>
  <si>
    <t xml:space="preserve">15100-46090
15100-46091
</t>
  </si>
  <si>
    <t>SUPRA IS300
GS300 JZS160
2JZGE 24-VALVE
IS SPORTCROSS
JCE10 E1 JSE10</t>
  </si>
  <si>
    <t>11310-0C020
11310-0C022
11310-75074
11310-75070
706595060</t>
  </si>
  <si>
    <t>HIACE 05-14,HILUX 04-12,FORTUNER
LAND CRUISER 2TRFE INNOVA</t>
  </si>
  <si>
    <t>11320-30030
11320-30032
11320-30070
11320-0L040
11310-0L060</t>
  </si>
  <si>
    <t>HIACE PARADO 1KDFTV HILUX V11 1KD-FTV
LAND CRUISER PRODO 2982CC</t>
  </si>
  <si>
    <t>11320-67010</t>
  </si>
  <si>
    <t>1KZ-TE LAND CRUISER HIACE
1KZT</t>
  </si>
  <si>
    <t>11301-17030
11301-17050</t>
  </si>
  <si>
    <t>1HD For LAND CRUISER 4.2 LTR DIESEL
1H-Z</t>
  </si>
  <si>
    <t>7701693575
7700600252
8200194608
150105428r
93196152</t>
  </si>
  <si>
    <t>CLIO 1.6 16V 
KANGOO (KC0/1_)
LAGUNA 2.0 2.2
MEGANE RT REX
24 TEETH</t>
  </si>
  <si>
    <t>1346144
1276336
1276337
1000457</t>
  </si>
  <si>
    <t xml:space="preserve">240 260 740 760 780 94 940SE
960 </t>
  </si>
  <si>
    <t>026 115 105
026 115 105B
056 115 105A
068 115 105.3</t>
  </si>
  <si>
    <t>AUDI 80 100 PASSAT 1.3 1.8
GOL CL 1.6 PARATI GL GLS SAVEIRO SANTANA</t>
  </si>
  <si>
    <t>027 115 105
027 115 105B
027 115 105E</t>
  </si>
  <si>
    <t>GOLF 2 1.6 1.8 SCIROCCO 2 1.8 JETTA 2 1.6 1.8
APOLLO GL LOGUS GLS POINTER VAN</t>
  </si>
  <si>
    <t>06A 115 105
06A 115 105D</t>
  </si>
  <si>
    <t xml:space="preserve">PASSAT 1.8 20V
VARIANT 1.8 20V
31 THEETH GRIVE GEAR WITHOUT TUBE </t>
  </si>
  <si>
    <t>06A 115 105B</t>
  </si>
  <si>
    <t>GOLF A4 1.8 2.0
AUDI A3 1.6 1.8
BORA  1.8 TURBO
POLO SEDAN HATCH PARA 4</t>
  </si>
  <si>
    <t>030 115 105P
030 115 105N
036 115 105B
036 115 105D</t>
  </si>
  <si>
    <t>GOL 1000MI 98
NOVO VOYAGE 1.0 
1.6 PARATI CLASSIC IBIZA GLOF 1.6 FOX</t>
  </si>
  <si>
    <t>03C115105AB
03C115105L 03C115105N
03C115105T</t>
  </si>
  <si>
    <t>RAPID FABIA
POLO JETTA
PASSAT TOURAN 1.4 1.6FSI
30 TEECH</t>
  </si>
  <si>
    <t>03C115105AC
03C115105AD
03C115105AG
03C115105Q</t>
  </si>
  <si>
    <t>1.4t CAXA CAVD Oil Pump for VW Golf Jetta
29 TEECH</t>
  </si>
  <si>
    <t>04E 115 105N
04E 115 105AB
04E115105E
04E115105AN
04E115105AC</t>
  </si>
  <si>
    <t>EA211 1.6L
GOL-1.6
FOX-1.6
SAVEIRO-1.6</t>
  </si>
  <si>
    <t>报价统计摘要</t>
  </si>
  <si>
    <t>供应商</t>
  </si>
  <si>
    <t>报价数量</t>
  </si>
  <si>
    <t>平均价(含税)</t>
  </si>
  <si>
    <t>价格范围</t>
  </si>
  <si>
    <t>惠华</t>
  </si>
  <si>
    <t>30.0 ~ 320.0</t>
  </si>
  <si>
    <t>沃勒</t>
  </si>
  <si>
    <t>52.0 ~ 1500.0</t>
  </si>
  <si>
    <t>玉旋</t>
  </si>
  <si>
    <t>54.0 ~ 170.0</t>
  </si>
  <si>
    <t>神航</t>
  </si>
  <si>
    <t>48.0 ~ 860.0</t>
  </si>
  <si>
    <t>立众</t>
  </si>
  <si>
    <t>165.0 ~ 165.0</t>
  </si>
  <si>
    <t>约翰</t>
  </si>
  <si>
    <t>37.0 ~ 135.0</t>
  </si>
  <si>
    <t>华工</t>
  </si>
  <si>
    <t>81.0 ~ 240.0</t>
  </si>
  <si>
    <t>缤元(含税换算)</t>
  </si>
  <si>
    <t>47.5 ~ 960.5</t>
  </si>
  <si>
    <t>不凡(含税换算)</t>
  </si>
  <si>
    <t>45.2 ~ 293.8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</si>
</sst>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14">
    <font>
      <sz val="11.0"/>
      <color theme="1"/>
      <name val="Calibri"/>
      <scheme val="minor"/>
    </font>
    <font>
      <b/>
      <sz val="14.0"/>
      <color rgb="FFFFFFFF"/>
      <name val="Noto Sans"/>
    </font>
    <font/>
    <font>
      <i/>
      <sz val="10.0"/>
      <color rgb="FF595959"/>
      <name val="Noto Sans"/>
    </font>
    <font>
      <b/>
      <sz val="10.0"/>
      <color rgb="FFFFFFFF"/>
      <name val="Arial"/>
    </font>
    <font>
      <b/>
      <sz val="10.0"/>
      <color rgb="FFFFFFFF"/>
      <name val="Noto Sans"/>
    </font>
    <font>
      <sz val="9.0"/>
      <color theme="1"/>
      <name val="Arial"/>
    </font>
    <font>
      <b/>
      <sz val="9.0"/>
      <color rgb="FFC00000"/>
      <name val="Arial"/>
    </font>
    <font>
      <sz val="9.0"/>
      <color rgb="FF7030A0"/>
      <name val="Noto Sans"/>
    </font>
    <font>
      <sz val="9.0"/>
      <color rgb="FF7030A0"/>
      <name val="Arial"/>
    </font>
    <font>
      <sz val="9.0"/>
      <color theme="1"/>
      <name val="Noto Sans"/>
    </font>
    <font>
      <b/>
      <sz val="12.0"/>
      <color rgb="FFFFFFFF"/>
      <name val="Noto Sans"/>
    </font>
    <font>
      <sz val="10.0"/>
      <color theme="1"/>
      <name val="Noto Sans"/>
    </font>
    <font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2E75B6"/>
        <bgColor rgb="FF2E75B6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  <fill>
      <patternFill patternType="solid">
        <fgColor rgb="FFF2F7FF"/>
        <bgColor rgb="FFF2F7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bottom" wrapText="0"/>
    </xf>
    <xf borderId="4" fillId="4" fontId="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4" fillId="5" fontId="6" numFmtId="0" xfId="0" applyAlignment="1" applyBorder="1" applyFill="1" applyFont="1">
      <alignment horizontal="left" shrinkToFit="0" vertical="center" wrapText="0"/>
    </xf>
    <xf borderId="4" fillId="5" fontId="6" numFmtId="164" xfId="0" applyAlignment="1" applyBorder="1" applyFont="1" applyNumberFormat="1">
      <alignment horizontal="center" shrinkToFit="0" vertical="center" wrapText="0"/>
    </xf>
    <xf borderId="4" fillId="5" fontId="6" numFmtId="0" xfId="0" applyAlignment="1" applyBorder="1" applyFont="1">
      <alignment horizontal="center" shrinkToFit="0" vertical="center" wrapText="0"/>
    </xf>
    <xf borderId="4" fillId="5" fontId="7" numFmtId="164" xfId="0" applyAlignment="1" applyBorder="1" applyFont="1" applyNumberFormat="1">
      <alignment horizontal="center" shrinkToFit="0" vertical="center" wrapText="0"/>
    </xf>
    <xf borderId="4" fillId="5" fontId="8" numFmtId="0" xfId="0" applyAlignment="1" applyBorder="1" applyFont="1">
      <alignment horizontal="center" shrinkToFit="0" vertical="center" wrapText="0"/>
    </xf>
    <xf borderId="4" fillId="6" fontId="6" numFmtId="0" xfId="0" applyAlignment="1" applyBorder="1" applyFill="1" applyFont="1">
      <alignment horizontal="left" shrinkToFit="0" vertical="center" wrapText="0"/>
    </xf>
    <xf borderId="4" fillId="6" fontId="6" numFmtId="0" xfId="0" applyAlignment="1" applyBorder="1" applyFont="1">
      <alignment horizontal="center" shrinkToFit="0" vertical="center" wrapText="0"/>
    </xf>
    <xf borderId="4" fillId="6" fontId="7" numFmtId="0" xfId="0" applyAlignment="1" applyBorder="1" applyFont="1">
      <alignment horizontal="center" shrinkToFit="0" vertical="center" wrapText="0"/>
    </xf>
    <xf borderId="4" fillId="6" fontId="9" numFmtId="0" xfId="0" applyAlignment="1" applyBorder="1" applyFont="1">
      <alignment horizontal="center" shrinkToFit="0" vertical="center" wrapText="0"/>
    </xf>
    <xf borderId="4" fillId="5" fontId="7" numFmtId="0" xfId="0" applyAlignment="1" applyBorder="1" applyFont="1">
      <alignment horizontal="center" shrinkToFit="0" vertical="center" wrapText="0"/>
    </xf>
    <xf borderId="4" fillId="6" fontId="6" numFmtId="164" xfId="0" applyAlignment="1" applyBorder="1" applyFont="1" applyNumberFormat="1">
      <alignment horizontal="center" shrinkToFit="0" vertical="center" wrapText="0"/>
    </xf>
    <xf borderId="4" fillId="6" fontId="7" numFmtId="164" xfId="0" applyAlignment="1" applyBorder="1" applyFont="1" applyNumberFormat="1">
      <alignment horizontal="center" shrinkToFit="0" vertical="center" wrapText="0"/>
    </xf>
    <xf borderId="4" fillId="5" fontId="10" numFmtId="0" xfId="0" applyAlignment="1" applyBorder="1" applyFont="1">
      <alignment horizontal="left" shrinkToFit="0" vertical="center" wrapText="0"/>
    </xf>
    <xf borderId="4" fillId="6" fontId="10" numFmtId="0" xfId="0" applyAlignment="1" applyBorder="1" applyFont="1">
      <alignment horizontal="left" shrinkToFit="0" vertical="center" wrapText="0"/>
    </xf>
    <xf borderId="5" fillId="5" fontId="6" numFmtId="0" xfId="0" applyAlignment="1" applyBorder="1" applyFont="1">
      <alignment horizontal="left" shrinkToFit="0" vertical="center" wrapText="0"/>
    </xf>
    <xf borderId="5" fillId="5" fontId="6" numFmtId="0" xfId="0" applyAlignment="1" applyBorder="1" applyFont="1">
      <alignment horizontal="center" shrinkToFit="0" vertical="center" wrapText="0"/>
    </xf>
    <xf borderId="5" fillId="5" fontId="7" numFmtId="0" xfId="0" applyAlignment="1" applyBorder="1" applyFont="1">
      <alignment horizontal="center" shrinkToFit="0" vertical="center" wrapText="0"/>
    </xf>
    <xf borderId="5" fillId="5" fontId="8" numFmtId="0" xfId="0" applyAlignment="1" applyBorder="1" applyFont="1">
      <alignment horizontal="center" shrinkToFit="0" vertical="center" wrapText="0"/>
    </xf>
    <xf borderId="5" fillId="6" fontId="6" numFmtId="0" xfId="0" applyAlignment="1" applyBorder="1" applyFont="1">
      <alignment horizontal="left" shrinkToFit="0" vertical="center" wrapText="0"/>
    </xf>
    <xf borderId="5" fillId="6" fontId="6" numFmtId="0" xfId="0" applyAlignment="1" applyBorder="1" applyFont="1">
      <alignment horizontal="center" shrinkToFit="0" vertical="center" wrapText="0"/>
    </xf>
    <xf borderId="5" fillId="6" fontId="7" numFmtId="0" xfId="0" applyAlignment="1" applyBorder="1" applyFont="1">
      <alignment horizontal="center" shrinkToFit="0" vertical="center" wrapText="0"/>
    </xf>
    <xf borderId="5" fillId="6" fontId="8" numFmtId="0" xfId="0" applyAlignment="1" applyBorder="1" applyFont="1">
      <alignment horizontal="center" shrinkToFit="0" vertical="center" wrapText="0"/>
    </xf>
    <xf borderId="5" fillId="6" fontId="6" numFmtId="0" xfId="0" applyAlignment="1" applyBorder="1" applyFont="1">
      <alignment horizontal="left" shrinkToFit="0" vertical="center" wrapText="1"/>
    </xf>
    <xf borderId="5" fillId="5" fontId="6" numFmtId="0" xfId="0" applyAlignment="1" applyBorder="1" applyFont="1">
      <alignment horizontal="left" shrinkToFit="0" vertical="center" wrapText="1"/>
    </xf>
    <xf borderId="5" fillId="5" fontId="10" numFmtId="0" xfId="0" applyAlignment="1" applyBorder="1" applyFont="1">
      <alignment horizontal="left" shrinkToFit="0" vertical="center" wrapText="0"/>
    </xf>
    <xf borderId="1" fillId="2" fontId="11" numFmtId="0" xfId="0" applyAlignment="1" applyBorder="1" applyFont="1">
      <alignment horizontal="center" shrinkToFit="0" vertical="center" wrapText="0"/>
    </xf>
    <xf borderId="4" fillId="4" fontId="5" numFmtId="0" xfId="0" applyAlignment="1" applyBorder="1" applyFont="1">
      <alignment horizontal="center" shrinkToFit="0" vertical="bottom" wrapText="0"/>
    </xf>
    <xf borderId="4" fillId="6" fontId="12" numFmtId="0" xfId="0" applyAlignment="1" applyBorder="1" applyFont="1">
      <alignment horizontal="left" shrinkToFit="0" vertical="center" wrapText="0"/>
    </xf>
    <xf borderId="4" fillId="6" fontId="13" numFmtId="0" xfId="0" applyAlignment="1" applyBorder="1" applyFont="1">
      <alignment horizontal="center" shrinkToFit="0" vertical="center" wrapText="0"/>
    </xf>
    <xf borderId="4" fillId="7" fontId="12" numFmtId="0" xfId="0" applyAlignment="1" applyBorder="1" applyFill="1" applyFont="1">
      <alignment horizontal="left" shrinkToFit="0" vertical="center" wrapText="0"/>
    </xf>
    <xf borderId="4" fillId="7" fontId="13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30.0"/>
    <col customWidth="1" min="3" max="3" width="20.0"/>
    <col customWidth="1" min="4" max="10" width="10.0"/>
    <col customWidth="1" min="11" max="12" width="14.0"/>
    <col customWidth="1" min="13" max="13" width="12.0"/>
    <col customWidth="1" min="14" max="14" width="16.0"/>
    <col customWidth="1" min="15" max="15" width="10.0"/>
    <col customWidth="1" min="16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19.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 ht="34.5" customHeight="1">
      <c r="A3" s="5" t="s">
        <v>2</v>
      </c>
      <c r="B3" s="5" t="s">
        <v>3</v>
      </c>
      <c r="C3" s="5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</row>
    <row r="4">
      <c r="A4" s="7" t="s">
        <v>17</v>
      </c>
      <c r="B4" s="7" t="s">
        <v>18</v>
      </c>
      <c r="C4" s="7"/>
      <c r="D4" s="8">
        <v>90.0</v>
      </c>
      <c r="E4" s="9"/>
      <c r="F4" s="9"/>
      <c r="G4" s="9"/>
      <c r="H4" s="9"/>
      <c r="I4" s="9"/>
      <c r="J4" s="9"/>
      <c r="K4" s="9"/>
      <c r="L4" s="9"/>
      <c r="M4" s="10">
        <f t="shared" ref="M4:M405" si="1">IFERROR(MIN(D4:L4),"")</f>
        <v>90</v>
      </c>
      <c r="N4" s="11" t="str">
        <f t="shared" ref="N4:N405" si="2">IFERROR(INDEX($D$3:$L$3,MATCH(MIN(D4:L4),D4:L4,0)),"")</f>
        <v>惠华报价</v>
      </c>
      <c r="O4" s="9">
        <f t="shared" ref="O4:O405" si="3">COUNT(D4:L4)</f>
        <v>1</v>
      </c>
    </row>
    <row r="5">
      <c r="A5" s="12" t="s">
        <v>19</v>
      </c>
      <c r="B5" s="12" t="s">
        <v>20</v>
      </c>
      <c r="C5" s="12"/>
      <c r="D5" s="13"/>
      <c r="E5" s="13"/>
      <c r="F5" s="13"/>
      <c r="G5" s="13"/>
      <c r="H5" s="13"/>
      <c r="I5" s="13"/>
      <c r="J5" s="13"/>
      <c r="K5" s="13"/>
      <c r="L5" s="13"/>
      <c r="M5" s="14">
        <f t="shared" si="1"/>
        <v>0</v>
      </c>
      <c r="N5" s="15" t="str">
        <f t="shared" si="2"/>
        <v/>
      </c>
      <c r="O5" s="13">
        <f t="shared" si="3"/>
        <v>0</v>
      </c>
    </row>
    <row r="6">
      <c r="A6" s="7" t="s">
        <v>21</v>
      </c>
      <c r="B6" s="7" t="s">
        <v>22</v>
      </c>
      <c r="C6" s="7"/>
      <c r="D6" s="9"/>
      <c r="E6" s="9"/>
      <c r="F6" s="9"/>
      <c r="G6" s="9"/>
      <c r="H6" s="9"/>
      <c r="I6" s="9"/>
      <c r="J6" s="9"/>
      <c r="K6" s="9"/>
      <c r="L6" s="9"/>
      <c r="M6" s="16">
        <f t="shared" si="1"/>
        <v>0</v>
      </c>
      <c r="N6" s="11" t="str">
        <f t="shared" si="2"/>
        <v/>
      </c>
      <c r="O6" s="9">
        <f t="shared" si="3"/>
        <v>0</v>
      </c>
    </row>
    <row r="7">
      <c r="A7" s="12" t="s">
        <v>23</v>
      </c>
      <c r="B7" s="12" t="s">
        <v>24</v>
      </c>
      <c r="C7" s="12"/>
      <c r="D7" s="17">
        <v>62.0</v>
      </c>
      <c r="E7" s="13"/>
      <c r="F7" s="13"/>
      <c r="G7" s="13"/>
      <c r="H7" s="13"/>
      <c r="I7" s="13"/>
      <c r="J7" s="13"/>
      <c r="K7" s="13"/>
      <c r="L7" s="13"/>
      <c r="M7" s="18">
        <f t="shared" si="1"/>
        <v>62</v>
      </c>
      <c r="N7" s="15" t="str">
        <f t="shared" si="2"/>
        <v>惠华报价</v>
      </c>
      <c r="O7" s="13">
        <f t="shared" si="3"/>
        <v>1</v>
      </c>
    </row>
    <row r="8">
      <c r="A8" s="7" t="s">
        <v>24</v>
      </c>
      <c r="B8" s="7"/>
      <c r="C8" s="7"/>
      <c r="D8" s="8">
        <v>62.0</v>
      </c>
      <c r="E8" s="9"/>
      <c r="F8" s="9"/>
      <c r="G8" s="9"/>
      <c r="H8" s="9"/>
      <c r="I8" s="9"/>
      <c r="J8" s="9"/>
      <c r="K8" s="9"/>
      <c r="L8" s="9"/>
      <c r="M8" s="10">
        <f t="shared" si="1"/>
        <v>62</v>
      </c>
      <c r="N8" s="11" t="str">
        <f t="shared" si="2"/>
        <v>惠华报价</v>
      </c>
      <c r="O8" s="9">
        <f t="shared" si="3"/>
        <v>1</v>
      </c>
    </row>
    <row r="9">
      <c r="A9" s="12" t="s">
        <v>25</v>
      </c>
      <c r="B9" s="12"/>
      <c r="C9" s="12"/>
      <c r="D9" s="17">
        <v>88.0</v>
      </c>
      <c r="E9" s="13"/>
      <c r="F9" s="13"/>
      <c r="G9" s="13"/>
      <c r="H9" s="13"/>
      <c r="I9" s="13"/>
      <c r="J9" s="13"/>
      <c r="K9" s="13"/>
      <c r="L9" s="13"/>
      <c r="M9" s="18">
        <f t="shared" si="1"/>
        <v>88</v>
      </c>
      <c r="N9" s="15" t="str">
        <f t="shared" si="2"/>
        <v>惠华报价</v>
      </c>
      <c r="O9" s="13">
        <f t="shared" si="3"/>
        <v>1</v>
      </c>
    </row>
    <row r="10">
      <c r="A10" s="7" t="s">
        <v>26</v>
      </c>
      <c r="B10" s="7"/>
      <c r="C10" s="7"/>
      <c r="D10" s="9"/>
      <c r="E10" s="9"/>
      <c r="F10" s="9"/>
      <c r="G10" s="9"/>
      <c r="H10" s="9"/>
      <c r="I10" s="9"/>
      <c r="J10" s="9"/>
      <c r="K10" s="9"/>
      <c r="L10" s="9"/>
      <c r="M10" s="16">
        <f t="shared" si="1"/>
        <v>0</v>
      </c>
      <c r="N10" s="11" t="str">
        <f t="shared" si="2"/>
        <v/>
      </c>
      <c r="O10" s="9">
        <f t="shared" si="3"/>
        <v>0</v>
      </c>
    </row>
    <row r="11">
      <c r="A11" s="12" t="s">
        <v>27</v>
      </c>
      <c r="B11" s="12" t="s">
        <v>28</v>
      </c>
      <c r="C11" s="12"/>
      <c r="D11" s="17">
        <v>210.0</v>
      </c>
      <c r="E11" s="13"/>
      <c r="F11" s="13"/>
      <c r="G11" s="13"/>
      <c r="H11" s="13"/>
      <c r="I11" s="13"/>
      <c r="J11" s="13"/>
      <c r="K11" s="13"/>
      <c r="L11" s="13"/>
      <c r="M11" s="18">
        <f t="shared" si="1"/>
        <v>210</v>
      </c>
      <c r="N11" s="15" t="str">
        <f t="shared" si="2"/>
        <v>惠华报价</v>
      </c>
      <c r="O11" s="13">
        <f t="shared" si="3"/>
        <v>1</v>
      </c>
    </row>
    <row r="12">
      <c r="A12" s="7" t="s">
        <v>29</v>
      </c>
      <c r="B12" s="7" t="s">
        <v>30</v>
      </c>
      <c r="C12" s="7"/>
      <c r="D12" s="8">
        <v>90.0</v>
      </c>
      <c r="E12" s="9"/>
      <c r="F12" s="9"/>
      <c r="G12" s="9"/>
      <c r="H12" s="9"/>
      <c r="I12" s="9"/>
      <c r="J12" s="9"/>
      <c r="K12" s="9"/>
      <c r="L12" s="9"/>
      <c r="M12" s="10">
        <f t="shared" si="1"/>
        <v>90</v>
      </c>
      <c r="N12" s="11" t="str">
        <f t="shared" si="2"/>
        <v>惠华报价</v>
      </c>
      <c r="O12" s="9">
        <f t="shared" si="3"/>
        <v>1</v>
      </c>
    </row>
    <row r="13">
      <c r="A13" s="12" t="s">
        <v>31</v>
      </c>
      <c r="B13" s="12" t="s">
        <v>32</v>
      </c>
      <c r="C13" s="12"/>
      <c r="D13" s="17">
        <v>90.0</v>
      </c>
      <c r="E13" s="13"/>
      <c r="F13" s="13"/>
      <c r="G13" s="13"/>
      <c r="H13" s="13"/>
      <c r="I13" s="13"/>
      <c r="J13" s="13"/>
      <c r="K13" s="13"/>
      <c r="L13" s="13"/>
      <c r="M13" s="18">
        <f t="shared" si="1"/>
        <v>90</v>
      </c>
      <c r="N13" s="15" t="str">
        <f t="shared" si="2"/>
        <v>惠华报价</v>
      </c>
      <c r="O13" s="13">
        <f t="shared" si="3"/>
        <v>1</v>
      </c>
    </row>
    <row r="14">
      <c r="A14" s="7" t="s">
        <v>33</v>
      </c>
      <c r="B14" s="7" t="s">
        <v>34</v>
      </c>
      <c r="C14" s="7"/>
      <c r="D14" s="8">
        <v>192.0</v>
      </c>
      <c r="E14" s="9"/>
      <c r="F14" s="9"/>
      <c r="G14" s="9"/>
      <c r="H14" s="9"/>
      <c r="I14" s="9"/>
      <c r="J14" s="9"/>
      <c r="K14" s="9"/>
      <c r="L14" s="9"/>
      <c r="M14" s="10">
        <f t="shared" si="1"/>
        <v>192</v>
      </c>
      <c r="N14" s="11" t="str">
        <f t="shared" si="2"/>
        <v>惠华报价</v>
      </c>
      <c r="O14" s="9">
        <f t="shared" si="3"/>
        <v>1</v>
      </c>
    </row>
    <row r="15">
      <c r="A15" s="12" t="s">
        <v>35</v>
      </c>
      <c r="B15" s="12" t="s">
        <v>36</v>
      </c>
      <c r="C15" s="12"/>
      <c r="D15" s="13"/>
      <c r="E15" s="13"/>
      <c r="F15" s="13"/>
      <c r="G15" s="17">
        <v>155.0</v>
      </c>
      <c r="H15" s="13"/>
      <c r="I15" s="13"/>
      <c r="J15" s="13"/>
      <c r="K15" s="13"/>
      <c r="L15" s="13"/>
      <c r="M15" s="18">
        <f t="shared" si="1"/>
        <v>155</v>
      </c>
      <c r="N15" s="15" t="str">
        <f t="shared" si="2"/>
        <v>神航含税</v>
      </c>
      <c r="O15" s="13">
        <f t="shared" si="3"/>
        <v>1</v>
      </c>
    </row>
    <row r="16">
      <c r="A16" s="7" t="s">
        <v>37</v>
      </c>
      <c r="B16" s="7" t="s">
        <v>38</v>
      </c>
      <c r="C16" s="7"/>
      <c r="D16" s="9"/>
      <c r="E16" s="9"/>
      <c r="F16" s="9"/>
      <c r="G16" s="9"/>
      <c r="H16" s="9"/>
      <c r="I16" s="9"/>
      <c r="J16" s="9"/>
      <c r="K16" s="9"/>
      <c r="L16" s="9"/>
      <c r="M16" s="16">
        <f t="shared" si="1"/>
        <v>0</v>
      </c>
      <c r="N16" s="11" t="str">
        <f t="shared" si="2"/>
        <v/>
      </c>
      <c r="O16" s="9">
        <f t="shared" si="3"/>
        <v>0</v>
      </c>
    </row>
    <row r="17">
      <c r="A17" s="12"/>
      <c r="B17" s="12" t="s">
        <v>39</v>
      </c>
      <c r="C17" s="12"/>
      <c r="D17" s="13"/>
      <c r="E17" s="13"/>
      <c r="F17" s="13"/>
      <c r="G17" s="13"/>
      <c r="H17" s="13"/>
      <c r="I17" s="13"/>
      <c r="J17" s="13"/>
      <c r="K17" s="13"/>
      <c r="L17" s="13"/>
      <c r="M17" s="14">
        <f t="shared" si="1"/>
        <v>0</v>
      </c>
      <c r="N17" s="15" t="str">
        <f t="shared" si="2"/>
        <v/>
      </c>
      <c r="O17" s="13">
        <f t="shared" si="3"/>
        <v>0</v>
      </c>
    </row>
    <row r="18">
      <c r="A18" s="7"/>
      <c r="B18" s="7" t="s">
        <v>40</v>
      </c>
      <c r="C18" s="7"/>
      <c r="D18" s="9"/>
      <c r="E18" s="9"/>
      <c r="F18" s="9"/>
      <c r="G18" s="9"/>
      <c r="H18" s="9"/>
      <c r="I18" s="9"/>
      <c r="J18" s="9"/>
      <c r="K18" s="9"/>
      <c r="L18" s="9"/>
      <c r="M18" s="16">
        <f t="shared" si="1"/>
        <v>0</v>
      </c>
      <c r="N18" s="11" t="str">
        <f t="shared" si="2"/>
        <v/>
      </c>
      <c r="O18" s="9">
        <f t="shared" si="3"/>
        <v>0</v>
      </c>
    </row>
    <row r="19">
      <c r="A19" s="12" t="s">
        <v>28</v>
      </c>
      <c r="B19" s="12" t="s">
        <v>41</v>
      </c>
      <c r="C19" s="12"/>
      <c r="D19" s="17">
        <v>210.0</v>
      </c>
      <c r="E19" s="13"/>
      <c r="F19" s="13"/>
      <c r="G19" s="13"/>
      <c r="H19" s="13"/>
      <c r="I19" s="13"/>
      <c r="J19" s="13"/>
      <c r="K19" s="13"/>
      <c r="L19" s="13"/>
      <c r="M19" s="18">
        <f t="shared" si="1"/>
        <v>210</v>
      </c>
      <c r="N19" s="15" t="str">
        <f t="shared" si="2"/>
        <v>惠华报价</v>
      </c>
      <c r="O19" s="13">
        <f t="shared" si="3"/>
        <v>1</v>
      </c>
    </row>
    <row r="20">
      <c r="A20" s="7" t="s">
        <v>42</v>
      </c>
      <c r="B20" s="7" t="s">
        <v>43</v>
      </c>
      <c r="C20" s="7"/>
      <c r="D20" s="8">
        <v>140.0</v>
      </c>
      <c r="E20" s="9"/>
      <c r="F20" s="9"/>
      <c r="G20" s="9"/>
      <c r="H20" s="9"/>
      <c r="I20" s="9"/>
      <c r="J20" s="9"/>
      <c r="K20" s="9"/>
      <c r="L20" s="9"/>
      <c r="M20" s="10">
        <f t="shared" si="1"/>
        <v>140</v>
      </c>
      <c r="N20" s="11" t="str">
        <f t="shared" si="2"/>
        <v>惠华报价</v>
      </c>
      <c r="O20" s="9">
        <f t="shared" si="3"/>
        <v>1</v>
      </c>
    </row>
    <row r="21" ht="15.75" customHeight="1">
      <c r="A21" s="12" t="s">
        <v>44</v>
      </c>
      <c r="B21" s="12" t="s">
        <v>45</v>
      </c>
      <c r="C21" s="12"/>
      <c r="D21" s="13"/>
      <c r="E21" s="13"/>
      <c r="F21" s="17">
        <v>155.0</v>
      </c>
      <c r="G21" s="17">
        <v>155.0</v>
      </c>
      <c r="H21" s="13"/>
      <c r="I21" s="13"/>
      <c r="J21" s="13"/>
      <c r="K21" s="13"/>
      <c r="L21" s="13"/>
      <c r="M21" s="18">
        <f t="shared" si="1"/>
        <v>155</v>
      </c>
      <c r="N21" s="15" t="str">
        <f t="shared" si="2"/>
        <v>玉旋含税</v>
      </c>
      <c r="O21" s="13">
        <f t="shared" si="3"/>
        <v>2</v>
      </c>
    </row>
    <row r="22" ht="15.75" customHeight="1">
      <c r="A22" s="7" t="s">
        <v>46</v>
      </c>
      <c r="B22" s="7" t="s">
        <v>47</v>
      </c>
      <c r="C22" s="7"/>
      <c r="D22" s="9"/>
      <c r="E22" s="9"/>
      <c r="F22" s="8">
        <v>155.0</v>
      </c>
      <c r="G22" s="8">
        <v>155.0</v>
      </c>
      <c r="H22" s="9"/>
      <c r="I22" s="9"/>
      <c r="J22" s="9"/>
      <c r="K22" s="9"/>
      <c r="L22" s="9"/>
      <c r="M22" s="10">
        <f t="shared" si="1"/>
        <v>155</v>
      </c>
      <c r="N22" s="11" t="str">
        <f t="shared" si="2"/>
        <v>玉旋含税</v>
      </c>
      <c r="O22" s="9">
        <f t="shared" si="3"/>
        <v>2</v>
      </c>
    </row>
    <row r="23" ht="15.75" customHeight="1">
      <c r="A23" s="12" t="s">
        <v>48</v>
      </c>
      <c r="B23" s="12" t="s">
        <v>49</v>
      </c>
      <c r="C23" s="12"/>
      <c r="D23" s="13"/>
      <c r="E23" s="13"/>
      <c r="F23" s="17">
        <v>145.0</v>
      </c>
      <c r="G23" s="17">
        <v>155.0</v>
      </c>
      <c r="H23" s="13"/>
      <c r="I23" s="13"/>
      <c r="J23" s="13"/>
      <c r="K23" s="13"/>
      <c r="L23" s="13"/>
      <c r="M23" s="18">
        <f t="shared" si="1"/>
        <v>145</v>
      </c>
      <c r="N23" s="15" t="str">
        <f t="shared" si="2"/>
        <v>玉旋含税</v>
      </c>
      <c r="O23" s="13">
        <f t="shared" si="3"/>
        <v>2</v>
      </c>
    </row>
    <row r="24" ht="15.75" customHeight="1">
      <c r="A24" s="7" t="s">
        <v>50</v>
      </c>
      <c r="B24" s="7" t="s">
        <v>51</v>
      </c>
      <c r="C24" s="7"/>
      <c r="D24" s="9"/>
      <c r="E24" s="9"/>
      <c r="F24" s="8">
        <v>145.0</v>
      </c>
      <c r="G24" s="8">
        <v>155.0</v>
      </c>
      <c r="H24" s="9"/>
      <c r="I24" s="9"/>
      <c r="J24" s="9"/>
      <c r="K24" s="9"/>
      <c r="L24" s="9"/>
      <c r="M24" s="10">
        <f t="shared" si="1"/>
        <v>145</v>
      </c>
      <c r="N24" s="11" t="str">
        <f t="shared" si="2"/>
        <v>玉旋含税</v>
      </c>
      <c r="O24" s="9">
        <f t="shared" si="3"/>
        <v>2</v>
      </c>
    </row>
    <row r="25" ht="15.75" customHeight="1">
      <c r="A25" s="12" t="s">
        <v>52</v>
      </c>
      <c r="B25" s="12" t="s">
        <v>53</v>
      </c>
      <c r="C25" s="12"/>
      <c r="D25" s="13"/>
      <c r="E25" s="13"/>
      <c r="F25" s="13"/>
      <c r="G25" s="13"/>
      <c r="H25" s="13"/>
      <c r="I25" s="13"/>
      <c r="J25" s="13"/>
      <c r="K25" s="13"/>
      <c r="L25" s="13"/>
      <c r="M25" s="14">
        <f t="shared" si="1"/>
        <v>0</v>
      </c>
      <c r="N25" s="15" t="str">
        <f t="shared" si="2"/>
        <v/>
      </c>
      <c r="O25" s="13">
        <f t="shared" si="3"/>
        <v>0</v>
      </c>
    </row>
    <row r="26" ht="15.75" customHeight="1">
      <c r="A26" s="7" t="s">
        <v>54</v>
      </c>
      <c r="B26" s="7" t="s">
        <v>55</v>
      </c>
      <c r="C26" s="7"/>
      <c r="D26" s="8">
        <v>124.0</v>
      </c>
      <c r="E26" s="9"/>
      <c r="F26" s="9"/>
      <c r="G26" s="9"/>
      <c r="H26" s="9"/>
      <c r="I26" s="9"/>
      <c r="J26" s="9"/>
      <c r="K26" s="9"/>
      <c r="L26" s="9"/>
      <c r="M26" s="10">
        <f t="shared" si="1"/>
        <v>124</v>
      </c>
      <c r="N26" s="11" t="str">
        <f t="shared" si="2"/>
        <v>惠华报价</v>
      </c>
      <c r="O26" s="9">
        <f t="shared" si="3"/>
        <v>1</v>
      </c>
    </row>
    <row r="27" ht="15.75" customHeight="1">
      <c r="A27" s="12" t="s">
        <v>56</v>
      </c>
      <c r="B27" s="12" t="s">
        <v>57</v>
      </c>
      <c r="C27" s="12"/>
      <c r="D27" s="17">
        <v>130.0</v>
      </c>
      <c r="E27" s="13"/>
      <c r="F27" s="13"/>
      <c r="G27" s="13"/>
      <c r="H27" s="13"/>
      <c r="I27" s="13"/>
      <c r="J27" s="13"/>
      <c r="K27" s="13"/>
      <c r="L27" s="13"/>
      <c r="M27" s="18">
        <f t="shared" si="1"/>
        <v>130</v>
      </c>
      <c r="N27" s="15" t="str">
        <f t="shared" si="2"/>
        <v>惠华报价</v>
      </c>
      <c r="O27" s="13">
        <f t="shared" si="3"/>
        <v>1</v>
      </c>
    </row>
    <row r="28" ht="15.75" customHeight="1">
      <c r="A28" s="7" t="s">
        <v>58</v>
      </c>
      <c r="B28" s="7" t="s">
        <v>59</v>
      </c>
      <c r="C28" s="7"/>
      <c r="D28" s="9"/>
      <c r="E28" s="9"/>
      <c r="F28" s="8">
        <v>170.0</v>
      </c>
      <c r="G28" s="8">
        <v>205.0</v>
      </c>
      <c r="H28" s="9"/>
      <c r="I28" s="9"/>
      <c r="J28" s="9"/>
      <c r="K28" s="9"/>
      <c r="L28" s="9"/>
      <c r="M28" s="10">
        <f t="shared" si="1"/>
        <v>170</v>
      </c>
      <c r="N28" s="11" t="str">
        <f t="shared" si="2"/>
        <v>玉旋含税</v>
      </c>
      <c r="O28" s="9">
        <f t="shared" si="3"/>
        <v>2</v>
      </c>
    </row>
    <row r="29" ht="15.75" customHeight="1">
      <c r="A29" s="12" t="s">
        <v>60</v>
      </c>
      <c r="B29" s="12" t="s">
        <v>61</v>
      </c>
      <c r="C29" s="12"/>
      <c r="D29" s="17">
        <v>130.0</v>
      </c>
      <c r="E29" s="13"/>
      <c r="F29" s="13"/>
      <c r="G29" s="13"/>
      <c r="H29" s="13"/>
      <c r="I29" s="13"/>
      <c r="J29" s="13"/>
      <c r="K29" s="13"/>
      <c r="L29" s="13"/>
      <c r="M29" s="18">
        <f t="shared" si="1"/>
        <v>130</v>
      </c>
      <c r="N29" s="15" t="str">
        <f t="shared" si="2"/>
        <v>惠华报价</v>
      </c>
      <c r="O29" s="13">
        <f t="shared" si="3"/>
        <v>1</v>
      </c>
    </row>
    <row r="30" ht="15.75" customHeight="1">
      <c r="A30" s="7" t="s">
        <v>62</v>
      </c>
      <c r="B30" s="7" t="s">
        <v>63</v>
      </c>
      <c r="C30" s="7"/>
      <c r="D30" s="8">
        <v>195.0</v>
      </c>
      <c r="E30" s="9"/>
      <c r="F30" s="9"/>
      <c r="G30" s="9"/>
      <c r="H30" s="9"/>
      <c r="I30" s="9"/>
      <c r="J30" s="9"/>
      <c r="K30" s="9"/>
      <c r="L30" s="9"/>
      <c r="M30" s="10">
        <f t="shared" si="1"/>
        <v>195</v>
      </c>
      <c r="N30" s="11" t="str">
        <f t="shared" si="2"/>
        <v>惠华报价</v>
      </c>
      <c r="O30" s="9">
        <f t="shared" si="3"/>
        <v>1</v>
      </c>
    </row>
    <row r="31" ht="15.75" customHeight="1">
      <c r="A31" s="12" t="s">
        <v>64</v>
      </c>
      <c r="B31" s="12" t="s">
        <v>65</v>
      </c>
      <c r="C31" s="12"/>
      <c r="D31" s="13"/>
      <c r="E31" s="13"/>
      <c r="F31" s="17">
        <v>145.0</v>
      </c>
      <c r="G31" s="17">
        <v>155.0</v>
      </c>
      <c r="H31" s="13"/>
      <c r="I31" s="13"/>
      <c r="J31" s="13"/>
      <c r="K31" s="13"/>
      <c r="L31" s="13"/>
      <c r="M31" s="18">
        <f t="shared" si="1"/>
        <v>145</v>
      </c>
      <c r="N31" s="15" t="str">
        <f t="shared" si="2"/>
        <v>玉旋含税</v>
      </c>
      <c r="O31" s="13">
        <f t="shared" si="3"/>
        <v>2</v>
      </c>
    </row>
    <row r="32" ht="15.75" customHeight="1">
      <c r="A32" s="7" t="s">
        <v>66</v>
      </c>
      <c r="B32" s="7" t="s">
        <v>67</v>
      </c>
      <c r="C32" s="7"/>
      <c r="D32" s="8">
        <v>124.0</v>
      </c>
      <c r="E32" s="9"/>
      <c r="F32" s="9"/>
      <c r="G32" s="9"/>
      <c r="H32" s="9"/>
      <c r="I32" s="9"/>
      <c r="J32" s="9"/>
      <c r="K32" s="9"/>
      <c r="L32" s="9"/>
      <c r="M32" s="10">
        <f t="shared" si="1"/>
        <v>124</v>
      </c>
      <c r="N32" s="11" t="str">
        <f t="shared" si="2"/>
        <v>惠华报价</v>
      </c>
      <c r="O32" s="9">
        <f t="shared" si="3"/>
        <v>1</v>
      </c>
    </row>
    <row r="33" ht="15.75" customHeight="1">
      <c r="A33" s="12" t="s">
        <v>68</v>
      </c>
      <c r="B33" s="12" t="s">
        <v>69</v>
      </c>
      <c r="C33" s="12"/>
      <c r="D33" s="17">
        <v>124.0</v>
      </c>
      <c r="E33" s="13"/>
      <c r="F33" s="13"/>
      <c r="G33" s="13"/>
      <c r="H33" s="13"/>
      <c r="I33" s="13"/>
      <c r="J33" s="13"/>
      <c r="K33" s="13"/>
      <c r="L33" s="13"/>
      <c r="M33" s="18">
        <f t="shared" si="1"/>
        <v>124</v>
      </c>
      <c r="N33" s="15" t="str">
        <f t="shared" si="2"/>
        <v>惠华报价</v>
      </c>
      <c r="O33" s="13">
        <f t="shared" si="3"/>
        <v>1</v>
      </c>
    </row>
    <row r="34" ht="15.75" customHeight="1">
      <c r="A34" s="7" t="s">
        <v>70</v>
      </c>
      <c r="B34" s="7" t="s">
        <v>71</v>
      </c>
      <c r="C34" s="7"/>
      <c r="D34" s="9"/>
      <c r="E34" s="9"/>
      <c r="F34" s="8">
        <v>155.0</v>
      </c>
      <c r="G34" s="8">
        <v>155.0</v>
      </c>
      <c r="H34" s="9"/>
      <c r="I34" s="9"/>
      <c r="J34" s="9"/>
      <c r="K34" s="9"/>
      <c r="L34" s="9"/>
      <c r="M34" s="10">
        <f t="shared" si="1"/>
        <v>155</v>
      </c>
      <c r="N34" s="11" t="str">
        <f t="shared" si="2"/>
        <v>玉旋含税</v>
      </c>
      <c r="O34" s="9">
        <f t="shared" si="3"/>
        <v>2</v>
      </c>
    </row>
    <row r="35" ht="15.75" customHeight="1">
      <c r="A35" s="12" t="s">
        <v>72</v>
      </c>
      <c r="B35" s="12"/>
      <c r="C35" s="12"/>
      <c r="D35" s="17">
        <v>115.0</v>
      </c>
      <c r="E35" s="13"/>
      <c r="F35" s="13"/>
      <c r="G35" s="13"/>
      <c r="H35" s="13"/>
      <c r="I35" s="13"/>
      <c r="J35" s="13"/>
      <c r="K35" s="13"/>
      <c r="L35" s="13"/>
      <c r="M35" s="18">
        <f t="shared" si="1"/>
        <v>115</v>
      </c>
      <c r="N35" s="15" t="str">
        <f t="shared" si="2"/>
        <v>惠华报价</v>
      </c>
      <c r="O35" s="13">
        <f t="shared" si="3"/>
        <v>1</v>
      </c>
    </row>
    <row r="36" ht="15.75" customHeight="1">
      <c r="A36" s="7" t="s">
        <v>61</v>
      </c>
      <c r="B36" s="7"/>
      <c r="C36" s="7"/>
      <c r="D36" s="8">
        <v>130.0</v>
      </c>
      <c r="E36" s="9"/>
      <c r="F36" s="9"/>
      <c r="G36" s="9"/>
      <c r="H36" s="9"/>
      <c r="I36" s="9"/>
      <c r="J36" s="9"/>
      <c r="K36" s="9"/>
      <c r="L36" s="9"/>
      <c r="M36" s="10">
        <f t="shared" si="1"/>
        <v>130</v>
      </c>
      <c r="N36" s="11" t="str">
        <f t="shared" si="2"/>
        <v>惠华报价</v>
      </c>
      <c r="O36" s="9">
        <f t="shared" si="3"/>
        <v>1</v>
      </c>
    </row>
    <row r="37" ht="15.75" customHeight="1">
      <c r="A37" s="12" t="s">
        <v>73</v>
      </c>
      <c r="B37" s="12" t="s">
        <v>74</v>
      </c>
      <c r="C37" s="12"/>
      <c r="D37" s="17">
        <v>150.0</v>
      </c>
      <c r="E37" s="13"/>
      <c r="F37" s="13"/>
      <c r="G37" s="13"/>
      <c r="H37" s="13"/>
      <c r="I37" s="13"/>
      <c r="J37" s="13"/>
      <c r="K37" s="13"/>
      <c r="L37" s="13"/>
      <c r="M37" s="18">
        <f t="shared" si="1"/>
        <v>150</v>
      </c>
      <c r="N37" s="15" t="str">
        <f t="shared" si="2"/>
        <v>惠华报价</v>
      </c>
      <c r="O37" s="13">
        <f t="shared" si="3"/>
        <v>1</v>
      </c>
    </row>
    <row r="38" ht="15.75" customHeight="1">
      <c r="A38" s="7" t="s">
        <v>75</v>
      </c>
      <c r="B38" s="7" t="s">
        <v>76</v>
      </c>
      <c r="C38" s="7"/>
      <c r="D38" s="9"/>
      <c r="E38" s="8">
        <v>145.0</v>
      </c>
      <c r="F38" s="8">
        <v>170.0</v>
      </c>
      <c r="G38" s="8">
        <v>180.0</v>
      </c>
      <c r="H38" s="9"/>
      <c r="I38" s="9"/>
      <c r="J38" s="9"/>
      <c r="K38" s="9"/>
      <c r="L38" s="9"/>
      <c r="M38" s="10">
        <f t="shared" si="1"/>
        <v>145</v>
      </c>
      <c r="N38" s="11" t="str">
        <f t="shared" si="2"/>
        <v>沃勒含税</v>
      </c>
      <c r="O38" s="9">
        <f t="shared" si="3"/>
        <v>3</v>
      </c>
    </row>
    <row r="39" ht="15.75" customHeight="1">
      <c r="A39" s="12" t="s">
        <v>77</v>
      </c>
      <c r="B39" s="12" t="s">
        <v>78</v>
      </c>
      <c r="C39" s="12"/>
      <c r="D39" s="13"/>
      <c r="E39" s="13"/>
      <c r="F39" s="17">
        <v>54.0</v>
      </c>
      <c r="G39" s="17">
        <v>103.0</v>
      </c>
      <c r="H39" s="13"/>
      <c r="I39" s="13"/>
      <c r="J39" s="13"/>
      <c r="K39" s="13"/>
      <c r="L39" s="13"/>
      <c r="M39" s="18">
        <f t="shared" si="1"/>
        <v>54</v>
      </c>
      <c r="N39" s="15" t="str">
        <f t="shared" si="2"/>
        <v>玉旋含税</v>
      </c>
      <c r="O39" s="13">
        <f t="shared" si="3"/>
        <v>2</v>
      </c>
    </row>
    <row r="40" ht="15.75" customHeight="1">
      <c r="A40" s="7" t="s">
        <v>79</v>
      </c>
      <c r="B40" s="7" t="s">
        <v>80</v>
      </c>
      <c r="C40" s="7"/>
      <c r="D40" s="9"/>
      <c r="E40" s="9"/>
      <c r="F40" s="8">
        <v>125.0</v>
      </c>
      <c r="G40" s="8">
        <v>135.0</v>
      </c>
      <c r="H40" s="9"/>
      <c r="I40" s="9"/>
      <c r="J40" s="9"/>
      <c r="K40" s="9"/>
      <c r="L40" s="9"/>
      <c r="M40" s="10">
        <f t="shared" si="1"/>
        <v>125</v>
      </c>
      <c r="N40" s="11" t="str">
        <f t="shared" si="2"/>
        <v>玉旋含税</v>
      </c>
      <c r="O40" s="9">
        <f t="shared" si="3"/>
        <v>2</v>
      </c>
    </row>
    <row r="41" ht="15.75" customHeight="1">
      <c r="A41" s="12" t="s">
        <v>81</v>
      </c>
      <c r="B41" s="12" t="s">
        <v>82</v>
      </c>
      <c r="C41" s="12"/>
      <c r="D41" s="13"/>
      <c r="E41" s="13"/>
      <c r="F41" s="17">
        <v>65.0</v>
      </c>
      <c r="G41" s="17">
        <v>60.0</v>
      </c>
      <c r="H41" s="13"/>
      <c r="I41" s="13"/>
      <c r="J41" s="13"/>
      <c r="K41" s="13"/>
      <c r="L41" s="13"/>
      <c r="M41" s="18">
        <f t="shared" si="1"/>
        <v>60</v>
      </c>
      <c r="N41" s="15" t="str">
        <f t="shared" si="2"/>
        <v>神航含税</v>
      </c>
      <c r="O41" s="13">
        <f t="shared" si="3"/>
        <v>2</v>
      </c>
    </row>
    <row r="42" ht="15.75" customHeight="1">
      <c r="A42" s="7" t="s">
        <v>83</v>
      </c>
      <c r="B42" s="7" t="s">
        <v>84</v>
      </c>
      <c r="C42" s="7"/>
      <c r="D42" s="9"/>
      <c r="E42" s="8">
        <v>55.0</v>
      </c>
      <c r="F42" s="8">
        <v>63.0</v>
      </c>
      <c r="G42" s="8">
        <v>60.0</v>
      </c>
      <c r="H42" s="9"/>
      <c r="I42" s="9"/>
      <c r="J42" s="9"/>
      <c r="K42" s="9"/>
      <c r="L42" s="9"/>
      <c r="M42" s="10">
        <f t="shared" si="1"/>
        <v>55</v>
      </c>
      <c r="N42" s="11" t="str">
        <f t="shared" si="2"/>
        <v>沃勒含税</v>
      </c>
      <c r="O42" s="9">
        <f t="shared" si="3"/>
        <v>3</v>
      </c>
    </row>
    <row r="43" ht="15.75" customHeight="1">
      <c r="A43" s="12" t="s">
        <v>85</v>
      </c>
      <c r="B43" s="12" t="s">
        <v>86</v>
      </c>
      <c r="C43" s="12"/>
      <c r="D43" s="17">
        <v>60.0</v>
      </c>
      <c r="E43" s="13"/>
      <c r="F43" s="13"/>
      <c r="G43" s="13"/>
      <c r="H43" s="13"/>
      <c r="I43" s="13"/>
      <c r="J43" s="13"/>
      <c r="K43" s="13"/>
      <c r="L43" s="13"/>
      <c r="M43" s="18">
        <f t="shared" si="1"/>
        <v>60</v>
      </c>
      <c r="N43" s="15" t="str">
        <f t="shared" si="2"/>
        <v>惠华报价</v>
      </c>
      <c r="O43" s="13">
        <f t="shared" si="3"/>
        <v>1</v>
      </c>
    </row>
    <row r="44" ht="15.75" customHeight="1">
      <c r="A44" s="7" t="s">
        <v>87</v>
      </c>
      <c r="B44" s="7" t="s">
        <v>88</v>
      </c>
      <c r="C44" s="7"/>
      <c r="D44" s="9"/>
      <c r="E44" s="9"/>
      <c r="F44" s="9"/>
      <c r="G44" s="8">
        <v>165.0</v>
      </c>
      <c r="H44" s="9"/>
      <c r="I44" s="9"/>
      <c r="J44" s="9"/>
      <c r="K44" s="9"/>
      <c r="L44" s="9"/>
      <c r="M44" s="10">
        <f t="shared" si="1"/>
        <v>165</v>
      </c>
      <c r="N44" s="11" t="str">
        <f t="shared" si="2"/>
        <v>神航含税</v>
      </c>
      <c r="O44" s="9">
        <f t="shared" si="3"/>
        <v>1</v>
      </c>
    </row>
    <row r="45" ht="15.75" customHeight="1">
      <c r="A45" s="12" t="s">
        <v>89</v>
      </c>
      <c r="B45" s="12" t="s">
        <v>90</v>
      </c>
      <c r="C45" s="12"/>
      <c r="D45" s="13"/>
      <c r="E45" s="17">
        <v>98.0</v>
      </c>
      <c r="F45" s="13"/>
      <c r="G45" s="13"/>
      <c r="H45" s="13"/>
      <c r="I45" s="13"/>
      <c r="J45" s="13"/>
      <c r="K45" s="13"/>
      <c r="L45" s="13"/>
      <c r="M45" s="18">
        <f t="shared" si="1"/>
        <v>98</v>
      </c>
      <c r="N45" s="15" t="str">
        <f t="shared" si="2"/>
        <v>沃勒含税</v>
      </c>
      <c r="O45" s="13">
        <f t="shared" si="3"/>
        <v>1</v>
      </c>
    </row>
    <row r="46" ht="15.75" customHeight="1">
      <c r="A46" s="7" t="s">
        <v>91</v>
      </c>
      <c r="B46" s="7" t="s">
        <v>92</v>
      </c>
      <c r="C46" s="7"/>
      <c r="D46" s="9"/>
      <c r="E46" s="9"/>
      <c r="F46" s="9"/>
      <c r="G46" s="8">
        <v>60.0</v>
      </c>
      <c r="H46" s="9"/>
      <c r="I46" s="9"/>
      <c r="J46" s="9"/>
      <c r="K46" s="9"/>
      <c r="L46" s="9"/>
      <c r="M46" s="10">
        <f t="shared" si="1"/>
        <v>60</v>
      </c>
      <c r="N46" s="11" t="str">
        <f t="shared" si="2"/>
        <v>神航含税</v>
      </c>
      <c r="O46" s="9">
        <f t="shared" si="3"/>
        <v>1</v>
      </c>
    </row>
    <row r="47" ht="15.75" customHeight="1">
      <c r="A47" s="12" t="s">
        <v>93</v>
      </c>
      <c r="B47" s="12" t="s">
        <v>94</v>
      </c>
      <c r="C47" s="12"/>
      <c r="D47" s="13"/>
      <c r="E47" s="13"/>
      <c r="F47" s="17">
        <v>55.0</v>
      </c>
      <c r="G47" s="17">
        <v>60.0</v>
      </c>
      <c r="H47" s="13"/>
      <c r="I47" s="13"/>
      <c r="J47" s="13"/>
      <c r="K47" s="13"/>
      <c r="L47" s="13"/>
      <c r="M47" s="18">
        <f t="shared" si="1"/>
        <v>55</v>
      </c>
      <c r="N47" s="15" t="str">
        <f t="shared" si="2"/>
        <v>玉旋含税</v>
      </c>
      <c r="O47" s="13">
        <f t="shared" si="3"/>
        <v>2</v>
      </c>
    </row>
    <row r="48" ht="15.75" customHeight="1">
      <c r="A48" s="7" t="s">
        <v>95</v>
      </c>
      <c r="B48" s="7" t="s">
        <v>96</v>
      </c>
      <c r="C48" s="7"/>
      <c r="D48" s="9"/>
      <c r="E48" s="9"/>
      <c r="F48" s="9"/>
      <c r="G48" s="9"/>
      <c r="H48" s="9"/>
      <c r="I48" s="9"/>
      <c r="J48" s="9"/>
      <c r="K48" s="9"/>
      <c r="L48" s="9"/>
      <c r="M48" s="16">
        <f t="shared" si="1"/>
        <v>0</v>
      </c>
      <c r="N48" s="11" t="str">
        <f t="shared" si="2"/>
        <v/>
      </c>
      <c r="O48" s="9">
        <f t="shared" si="3"/>
        <v>0</v>
      </c>
    </row>
    <row r="49" ht="15.75" customHeight="1">
      <c r="A49" s="12" t="s">
        <v>94</v>
      </c>
      <c r="B49" s="12"/>
      <c r="C49" s="12"/>
      <c r="D49" s="13"/>
      <c r="E49" s="13"/>
      <c r="F49" s="17">
        <v>55.0</v>
      </c>
      <c r="G49" s="17">
        <v>60.0</v>
      </c>
      <c r="H49" s="13"/>
      <c r="I49" s="13"/>
      <c r="J49" s="13"/>
      <c r="K49" s="13"/>
      <c r="L49" s="13"/>
      <c r="M49" s="18">
        <f t="shared" si="1"/>
        <v>55</v>
      </c>
      <c r="N49" s="15" t="str">
        <f t="shared" si="2"/>
        <v>玉旋含税</v>
      </c>
      <c r="O49" s="13">
        <f t="shared" si="3"/>
        <v>2</v>
      </c>
    </row>
    <row r="50" ht="15.75" customHeight="1">
      <c r="A50" s="7" t="s">
        <v>78</v>
      </c>
      <c r="B50" s="7"/>
      <c r="C50" s="7"/>
      <c r="D50" s="9"/>
      <c r="E50" s="9"/>
      <c r="F50" s="8">
        <v>54.0</v>
      </c>
      <c r="G50" s="8">
        <v>103.0</v>
      </c>
      <c r="H50" s="9"/>
      <c r="I50" s="9"/>
      <c r="J50" s="9"/>
      <c r="K50" s="9"/>
      <c r="L50" s="9"/>
      <c r="M50" s="10">
        <f t="shared" si="1"/>
        <v>54</v>
      </c>
      <c r="N50" s="11" t="str">
        <f t="shared" si="2"/>
        <v>玉旋含税</v>
      </c>
      <c r="O50" s="9">
        <f t="shared" si="3"/>
        <v>2</v>
      </c>
    </row>
    <row r="51" ht="15.75" customHeight="1">
      <c r="A51" s="12" t="s">
        <v>84</v>
      </c>
      <c r="B51" s="12"/>
      <c r="C51" s="12"/>
      <c r="D51" s="13"/>
      <c r="E51" s="13"/>
      <c r="F51" s="17">
        <v>63.0</v>
      </c>
      <c r="G51" s="17">
        <v>60.0</v>
      </c>
      <c r="H51" s="13"/>
      <c r="I51" s="13"/>
      <c r="J51" s="13"/>
      <c r="K51" s="13"/>
      <c r="L51" s="13"/>
      <c r="M51" s="18">
        <f t="shared" si="1"/>
        <v>60</v>
      </c>
      <c r="N51" s="15" t="str">
        <f t="shared" si="2"/>
        <v>神航含税</v>
      </c>
      <c r="O51" s="13">
        <f t="shared" si="3"/>
        <v>2</v>
      </c>
    </row>
    <row r="52" ht="15.75" customHeight="1">
      <c r="A52" s="7" t="s">
        <v>97</v>
      </c>
      <c r="B52" s="7"/>
      <c r="C52" s="7"/>
      <c r="D52" s="8">
        <v>98.0</v>
      </c>
      <c r="E52" s="9"/>
      <c r="F52" s="9"/>
      <c r="G52" s="9"/>
      <c r="H52" s="9"/>
      <c r="I52" s="9"/>
      <c r="J52" s="9"/>
      <c r="K52" s="9"/>
      <c r="L52" s="9"/>
      <c r="M52" s="10">
        <f t="shared" si="1"/>
        <v>98</v>
      </c>
      <c r="N52" s="11" t="str">
        <f t="shared" si="2"/>
        <v>惠华报价</v>
      </c>
      <c r="O52" s="9">
        <f t="shared" si="3"/>
        <v>1</v>
      </c>
    </row>
    <row r="53" ht="15.75" customHeight="1">
      <c r="A53" s="12" t="s">
        <v>98</v>
      </c>
      <c r="B53" s="12"/>
      <c r="C53" s="12"/>
      <c r="D53" s="13"/>
      <c r="E53" s="13"/>
      <c r="F53" s="17">
        <v>125.0</v>
      </c>
      <c r="G53" s="13"/>
      <c r="H53" s="13"/>
      <c r="I53" s="13"/>
      <c r="J53" s="13"/>
      <c r="K53" s="13"/>
      <c r="L53" s="13"/>
      <c r="M53" s="18">
        <f t="shared" si="1"/>
        <v>125</v>
      </c>
      <c r="N53" s="15" t="str">
        <f t="shared" si="2"/>
        <v>玉旋含税</v>
      </c>
      <c r="O53" s="13">
        <f t="shared" si="3"/>
        <v>1</v>
      </c>
    </row>
    <row r="54" ht="15.75" customHeight="1">
      <c r="A54" s="7" t="s">
        <v>99</v>
      </c>
      <c r="B54" s="7"/>
      <c r="C54" s="7"/>
      <c r="D54" s="9"/>
      <c r="E54" s="8">
        <v>135.0</v>
      </c>
      <c r="F54" s="9"/>
      <c r="G54" s="8">
        <v>120.0</v>
      </c>
      <c r="H54" s="9"/>
      <c r="I54" s="9"/>
      <c r="J54" s="9"/>
      <c r="K54" s="9"/>
      <c r="L54" s="9"/>
      <c r="M54" s="10">
        <f t="shared" si="1"/>
        <v>120</v>
      </c>
      <c r="N54" s="11" t="str">
        <f t="shared" si="2"/>
        <v>神航含税</v>
      </c>
      <c r="O54" s="9">
        <f t="shared" si="3"/>
        <v>2</v>
      </c>
    </row>
    <row r="55" ht="15.75" customHeight="1">
      <c r="A55" s="12"/>
      <c r="B55" s="12" t="s">
        <v>100</v>
      </c>
      <c r="C55" s="12"/>
      <c r="D55" s="13"/>
      <c r="E55" s="13"/>
      <c r="F55" s="13"/>
      <c r="G55" s="17">
        <v>173.0</v>
      </c>
      <c r="H55" s="13"/>
      <c r="I55" s="13"/>
      <c r="J55" s="13"/>
      <c r="K55" s="13"/>
      <c r="L55" s="13"/>
      <c r="M55" s="18">
        <f t="shared" si="1"/>
        <v>173</v>
      </c>
      <c r="N55" s="15" t="str">
        <f t="shared" si="2"/>
        <v>神航含税</v>
      </c>
      <c r="O55" s="13">
        <f t="shared" si="3"/>
        <v>1</v>
      </c>
    </row>
    <row r="56" ht="15.75" customHeight="1">
      <c r="A56" s="7"/>
      <c r="B56" s="7" t="s">
        <v>101</v>
      </c>
      <c r="C56" s="7"/>
      <c r="D56" s="9"/>
      <c r="E56" s="9"/>
      <c r="F56" s="9"/>
      <c r="G56" s="8">
        <v>173.0</v>
      </c>
      <c r="H56" s="9"/>
      <c r="I56" s="9"/>
      <c r="J56" s="9"/>
      <c r="K56" s="9"/>
      <c r="L56" s="9"/>
      <c r="M56" s="10">
        <f t="shared" si="1"/>
        <v>173</v>
      </c>
      <c r="N56" s="11" t="str">
        <f t="shared" si="2"/>
        <v>神航含税</v>
      </c>
      <c r="O56" s="9">
        <f t="shared" si="3"/>
        <v>1</v>
      </c>
    </row>
    <row r="57" ht="15.75" customHeight="1">
      <c r="A57" s="12"/>
      <c r="B57" s="12" t="s">
        <v>102</v>
      </c>
      <c r="C57" s="12"/>
      <c r="D57" s="13"/>
      <c r="E57" s="13"/>
      <c r="F57" s="17">
        <v>135.0</v>
      </c>
      <c r="G57" s="17">
        <v>95.0</v>
      </c>
      <c r="H57" s="13"/>
      <c r="I57" s="13"/>
      <c r="J57" s="13"/>
      <c r="K57" s="13"/>
      <c r="L57" s="13"/>
      <c r="M57" s="18">
        <f t="shared" si="1"/>
        <v>95</v>
      </c>
      <c r="N57" s="15" t="str">
        <f t="shared" si="2"/>
        <v>神航含税</v>
      </c>
      <c r="O57" s="13">
        <f t="shared" si="3"/>
        <v>2</v>
      </c>
    </row>
    <row r="58" ht="15.75" customHeight="1">
      <c r="A58" s="7"/>
      <c r="B58" s="7" t="s">
        <v>103</v>
      </c>
      <c r="C58" s="7"/>
      <c r="D58" s="8">
        <v>300.0</v>
      </c>
      <c r="E58" s="9"/>
      <c r="F58" s="9"/>
      <c r="G58" s="9"/>
      <c r="H58" s="9"/>
      <c r="I58" s="9"/>
      <c r="J58" s="9"/>
      <c r="K58" s="9"/>
      <c r="L58" s="9"/>
      <c r="M58" s="10">
        <f t="shared" si="1"/>
        <v>300</v>
      </c>
      <c r="N58" s="11" t="str">
        <f t="shared" si="2"/>
        <v>惠华报价</v>
      </c>
      <c r="O58" s="9">
        <f t="shared" si="3"/>
        <v>1</v>
      </c>
    </row>
    <row r="59" ht="15.75" customHeight="1">
      <c r="A59" s="12"/>
      <c r="B59" s="12" t="s">
        <v>104</v>
      </c>
      <c r="C59" s="12"/>
      <c r="D59" s="13"/>
      <c r="E59" s="13"/>
      <c r="F59" s="13"/>
      <c r="G59" s="17">
        <v>580.0</v>
      </c>
      <c r="H59" s="13"/>
      <c r="I59" s="13"/>
      <c r="J59" s="13"/>
      <c r="K59" s="13"/>
      <c r="L59" s="13"/>
      <c r="M59" s="18">
        <f t="shared" si="1"/>
        <v>580</v>
      </c>
      <c r="N59" s="15" t="str">
        <f t="shared" si="2"/>
        <v>神航含税</v>
      </c>
      <c r="O59" s="13">
        <f t="shared" si="3"/>
        <v>1</v>
      </c>
    </row>
    <row r="60" ht="15.75" customHeight="1">
      <c r="A60" s="7"/>
      <c r="B60" s="7" t="s">
        <v>105</v>
      </c>
      <c r="C60" s="7"/>
      <c r="D60" s="9"/>
      <c r="E60" s="9"/>
      <c r="F60" s="9"/>
      <c r="G60" s="8">
        <v>580.0</v>
      </c>
      <c r="H60" s="9"/>
      <c r="I60" s="9"/>
      <c r="J60" s="9"/>
      <c r="K60" s="9"/>
      <c r="L60" s="9"/>
      <c r="M60" s="10">
        <f t="shared" si="1"/>
        <v>580</v>
      </c>
      <c r="N60" s="11" t="str">
        <f t="shared" si="2"/>
        <v>神航含税</v>
      </c>
      <c r="O60" s="9">
        <f t="shared" si="3"/>
        <v>1</v>
      </c>
    </row>
    <row r="61" ht="15.75" customHeight="1">
      <c r="A61" s="12"/>
      <c r="B61" s="12" t="s">
        <v>106</v>
      </c>
      <c r="C61" s="12"/>
      <c r="D61" s="13"/>
      <c r="E61" s="13"/>
      <c r="F61" s="13"/>
      <c r="G61" s="17">
        <v>860.0</v>
      </c>
      <c r="H61" s="13"/>
      <c r="I61" s="13"/>
      <c r="J61" s="13"/>
      <c r="K61" s="13"/>
      <c r="L61" s="13"/>
      <c r="M61" s="18">
        <f t="shared" si="1"/>
        <v>860</v>
      </c>
      <c r="N61" s="15" t="str">
        <f t="shared" si="2"/>
        <v>神航含税</v>
      </c>
      <c r="O61" s="13">
        <f t="shared" si="3"/>
        <v>1</v>
      </c>
    </row>
    <row r="62" ht="15.75" customHeight="1">
      <c r="A62" s="7"/>
      <c r="B62" s="7" t="s">
        <v>107</v>
      </c>
      <c r="C62" s="7"/>
      <c r="D62" s="9"/>
      <c r="E62" s="9"/>
      <c r="F62" s="9"/>
      <c r="G62" s="8">
        <v>580.0</v>
      </c>
      <c r="H62" s="9"/>
      <c r="I62" s="9"/>
      <c r="J62" s="9"/>
      <c r="K62" s="9"/>
      <c r="L62" s="9"/>
      <c r="M62" s="10">
        <f t="shared" si="1"/>
        <v>580</v>
      </c>
      <c r="N62" s="11" t="str">
        <f t="shared" si="2"/>
        <v>神航含税</v>
      </c>
      <c r="O62" s="9">
        <f t="shared" si="3"/>
        <v>1</v>
      </c>
    </row>
    <row r="63" ht="15.75" customHeight="1">
      <c r="A63" s="12"/>
      <c r="B63" s="12" t="s">
        <v>108</v>
      </c>
      <c r="C63" s="12"/>
      <c r="D63" s="17">
        <v>45.0</v>
      </c>
      <c r="E63" s="13"/>
      <c r="F63" s="13"/>
      <c r="G63" s="13"/>
      <c r="H63" s="13"/>
      <c r="I63" s="13"/>
      <c r="J63" s="13"/>
      <c r="K63" s="13"/>
      <c r="L63" s="13"/>
      <c r="M63" s="18">
        <f t="shared" si="1"/>
        <v>45</v>
      </c>
      <c r="N63" s="15" t="str">
        <f t="shared" si="2"/>
        <v>惠华报价</v>
      </c>
      <c r="O63" s="13">
        <f t="shared" si="3"/>
        <v>1</v>
      </c>
    </row>
    <row r="64" ht="15.75" customHeight="1">
      <c r="A64" s="7"/>
      <c r="B64" s="7" t="s">
        <v>109</v>
      </c>
      <c r="C64" s="7"/>
      <c r="D64" s="8">
        <v>45.0</v>
      </c>
      <c r="E64" s="9"/>
      <c r="F64" s="9"/>
      <c r="G64" s="9"/>
      <c r="H64" s="9"/>
      <c r="I64" s="9"/>
      <c r="J64" s="9"/>
      <c r="K64" s="9"/>
      <c r="L64" s="9"/>
      <c r="M64" s="10">
        <f t="shared" si="1"/>
        <v>45</v>
      </c>
      <c r="N64" s="11" t="str">
        <f t="shared" si="2"/>
        <v>惠华报价</v>
      </c>
      <c r="O64" s="9">
        <f t="shared" si="3"/>
        <v>1</v>
      </c>
    </row>
    <row r="65" ht="15.75" customHeight="1">
      <c r="A65" s="12"/>
      <c r="B65" s="12" t="s">
        <v>110</v>
      </c>
      <c r="C65" s="12"/>
      <c r="D65" s="17">
        <v>56.0</v>
      </c>
      <c r="E65" s="13"/>
      <c r="F65" s="13"/>
      <c r="G65" s="13"/>
      <c r="H65" s="13"/>
      <c r="I65" s="13"/>
      <c r="J65" s="13"/>
      <c r="K65" s="13"/>
      <c r="L65" s="13"/>
      <c r="M65" s="18">
        <f t="shared" si="1"/>
        <v>56</v>
      </c>
      <c r="N65" s="15" t="str">
        <f t="shared" si="2"/>
        <v>惠华报价</v>
      </c>
      <c r="O65" s="13">
        <f t="shared" si="3"/>
        <v>1</v>
      </c>
    </row>
    <row r="66" ht="15.75" customHeight="1">
      <c r="A66" s="7"/>
      <c r="B66" s="7" t="s">
        <v>111</v>
      </c>
      <c r="C66" s="7"/>
      <c r="D66" s="8">
        <v>56.0</v>
      </c>
      <c r="E66" s="9"/>
      <c r="F66" s="9"/>
      <c r="G66" s="9"/>
      <c r="H66" s="9"/>
      <c r="I66" s="9"/>
      <c r="J66" s="9"/>
      <c r="K66" s="9"/>
      <c r="L66" s="9"/>
      <c r="M66" s="10">
        <f t="shared" si="1"/>
        <v>56</v>
      </c>
      <c r="N66" s="11" t="str">
        <f t="shared" si="2"/>
        <v>惠华报价</v>
      </c>
      <c r="O66" s="9">
        <f t="shared" si="3"/>
        <v>1</v>
      </c>
    </row>
    <row r="67" ht="15.75" customHeight="1">
      <c r="A67" s="12"/>
      <c r="B67" s="12" t="s">
        <v>112</v>
      </c>
      <c r="C67" s="12"/>
      <c r="D67" s="17">
        <v>135.0</v>
      </c>
      <c r="E67" s="13"/>
      <c r="F67" s="13"/>
      <c r="G67" s="13"/>
      <c r="H67" s="13"/>
      <c r="I67" s="13"/>
      <c r="J67" s="13"/>
      <c r="K67" s="13"/>
      <c r="L67" s="13"/>
      <c r="M67" s="18">
        <f t="shared" si="1"/>
        <v>135</v>
      </c>
      <c r="N67" s="15" t="str">
        <f t="shared" si="2"/>
        <v>惠华报价</v>
      </c>
      <c r="O67" s="13">
        <f t="shared" si="3"/>
        <v>1</v>
      </c>
    </row>
    <row r="68" ht="15.75" customHeight="1">
      <c r="A68" s="7"/>
      <c r="B68" s="7" t="s">
        <v>113</v>
      </c>
      <c r="C68" s="7"/>
      <c r="D68" s="8">
        <v>142.0</v>
      </c>
      <c r="E68" s="9"/>
      <c r="F68" s="9"/>
      <c r="G68" s="9"/>
      <c r="H68" s="9"/>
      <c r="I68" s="9"/>
      <c r="J68" s="9"/>
      <c r="K68" s="9"/>
      <c r="L68" s="9"/>
      <c r="M68" s="10">
        <f t="shared" si="1"/>
        <v>142</v>
      </c>
      <c r="N68" s="11" t="str">
        <f t="shared" si="2"/>
        <v>惠华报价</v>
      </c>
      <c r="O68" s="9">
        <f t="shared" si="3"/>
        <v>1</v>
      </c>
    </row>
    <row r="69" ht="15.75" customHeight="1">
      <c r="A69" s="12" t="s">
        <v>114</v>
      </c>
      <c r="B69" s="12" t="s">
        <v>115</v>
      </c>
      <c r="C69" s="12"/>
      <c r="D69" s="17">
        <v>45.0</v>
      </c>
      <c r="E69" s="13"/>
      <c r="F69" s="13"/>
      <c r="G69" s="13"/>
      <c r="H69" s="13"/>
      <c r="I69" s="13"/>
      <c r="J69" s="13"/>
      <c r="K69" s="13"/>
      <c r="L69" s="13"/>
      <c r="M69" s="18">
        <f t="shared" si="1"/>
        <v>45</v>
      </c>
      <c r="N69" s="15" t="str">
        <f t="shared" si="2"/>
        <v>惠华报价</v>
      </c>
      <c r="O69" s="13">
        <f t="shared" si="3"/>
        <v>1</v>
      </c>
    </row>
    <row r="70" ht="15.75" customHeight="1">
      <c r="A70" s="7"/>
      <c r="B70" s="7" t="s">
        <v>116</v>
      </c>
      <c r="C70" s="7"/>
      <c r="D70" s="8">
        <v>85.0</v>
      </c>
      <c r="E70" s="9"/>
      <c r="F70" s="9"/>
      <c r="G70" s="9"/>
      <c r="H70" s="9"/>
      <c r="I70" s="9"/>
      <c r="J70" s="9"/>
      <c r="K70" s="9"/>
      <c r="L70" s="9"/>
      <c r="M70" s="10">
        <f t="shared" si="1"/>
        <v>85</v>
      </c>
      <c r="N70" s="11" t="str">
        <f t="shared" si="2"/>
        <v>惠华报价</v>
      </c>
      <c r="O70" s="9">
        <f t="shared" si="3"/>
        <v>1</v>
      </c>
    </row>
    <row r="71" ht="15.75" customHeight="1">
      <c r="A71" s="12"/>
      <c r="B71" s="12" t="s">
        <v>117</v>
      </c>
      <c r="C71" s="12"/>
      <c r="D71" s="17">
        <v>62.0</v>
      </c>
      <c r="E71" s="13"/>
      <c r="F71" s="13"/>
      <c r="G71" s="13"/>
      <c r="H71" s="13"/>
      <c r="I71" s="13"/>
      <c r="J71" s="13"/>
      <c r="K71" s="13"/>
      <c r="L71" s="13"/>
      <c r="M71" s="18">
        <f t="shared" si="1"/>
        <v>62</v>
      </c>
      <c r="N71" s="15" t="str">
        <f t="shared" si="2"/>
        <v>惠华报价</v>
      </c>
      <c r="O71" s="13">
        <f t="shared" si="3"/>
        <v>1</v>
      </c>
    </row>
    <row r="72" ht="15.75" customHeight="1">
      <c r="A72" s="7" t="s">
        <v>118</v>
      </c>
      <c r="B72" s="7" t="s">
        <v>119</v>
      </c>
      <c r="C72" s="7"/>
      <c r="D72" s="9"/>
      <c r="E72" s="9"/>
      <c r="F72" s="8">
        <v>92.0</v>
      </c>
      <c r="G72" s="8">
        <v>83.0</v>
      </c>
      <c r="H72" s="9"/>
      <c r="I72" s="9"/>
      <c r="J72" s="9"/>
      <c r="K72" s="8">
        <v>93.8</v>
      </c>
      <c r="L72" s="9"/>
      <c r="M72" s="10">
        <f t="shared" si="1"/>
        <v>83</v>
      </c>
      <c r="N72" s="11" t="str">
        <f t="shared" si="2"/>
        <v>神航含税</v>
      </c>
      <c r="O72" s="9">
        <f t="shared" si="3"/>
        <v>3</v>
      </c>
    </row>
    <row r="73" ht="15.75" customHeight="1">
      <c r="A73" s="12"/>
      <c r="B73" s="12" t="s">
        <v>120</v>
      </c>
      <c r="C73" s="12"/>
      <c r="D73" s="13"/>
      <c r="E73" s="13"/>
      <c r="F73" s="17">
        <v>145.0</v>
      </c>
      <c r="G73" s="17">
        <v>90.0</v>
      </c>
      <c r="H73" s="13"/>
      <c r="I73" s="13"/>
      <c r="J73" s="13"/>
      <c r="K73" s="13"/>
      <c r="L73" s="13"/>
      <c r="M73" s="18">
        <f t="shared" si="1"/>
        <v>90</v>
      </c>
      <c r="N73" s="15" t="str">
        <f t="shared" si="2"/>
        <v>神航含税</v>
      </c>
      <c r="O73" s="13">
        <f t="shared" si="3"/>
        <v>2</v>
      </c>
    </row>
    <row r="74" ht="15.75" customHeight="1">
      <c r="A74" s="7"/>
      <c r="B74" s="7" t="s">
        <v>121</v>
      </c>
      <c r="C74" s="7"/>
      <c r="D74" s="8">
        <v>102.0</v>
      </c>
      <c r="E74" s="9"/>
      <c r="F74" s="9"/>
      <c r="G74" s="9"/>
      <c r="H74" s="9"/>
      <c r="I74" s="9"/>
      <c r="J74" s="9"/>
      <c r="K74" s="9"/>
      <c r="L74" s="9"/>
      <c r="M74" s="10">
        <f t="shared" si="1"/>
        <v>102</v>
      </c>
      <c r="N74" s="11" t="str">
        <f t="shared" si="2"/>
        <v>惠华报价</v>
      </c>
      <c r="O74" s="9">
        <f t="shared" si="3"/>
        <v>1</v>
      </c>
    </row>
    <row r="75" ht="15.75" customHeight="1">
      <c r="A75" s="12"/>
      <c r="B75" s="12" t="s">
        <v>122</v>
      </c>
      <c r="C75" s="12"/>
      <c r="D75" s="17">
        <v>102.0</v>
      </c>
      <c r="E75" s="13"/>
      <c r="F75" s="13"/>
      <c r="G75" s="13"/>
      <c r="H75" s="13"/>
      <c r="I75" s="13"/>
      <c r="J75" s="13"/>
      <c r="K75" s="13"/>
      <c r="L75" s="13"/>
      <c r="M75" s="18">
        <f t="shared" si="1"/>
        <v>102</v>
      </c>
      <c r="N75" s="15" t="str">
        <f t="shared" si="2"/>
        <v>惠华报价</v>
      </c>
      <c r="O75" s="13">
        <f t="shared" si="3"/>
        <v>1</v>
      </c>
    </row>
    <row r="76" ht="15.75" customHeight="1">
      <c r="A76" s="7"/>
      <c r="B76" s="7" t="s">
        <v>123</v>
      </c>
      <c r="C76" s="7"/>
      <c r="D76" s="9"/>
      <c r="E76" s="9"/>
      <c r="F76" s="9"/>
      <c r="G76" s="9"/>
      <c r="H76" s="9"/>
      <c r="I76" s="9"/>
      <c r="J76" s="9"/>
      <c r="K76" s="9"/>
      <c r="L76" s="9"/>
      <c r="M76" s="16">
        <f t="shared" si="1"/>
        <v>0</v>
      </c>
      <c r="N76" s="11" t="str">
        <f t="shared" si="2"/>
        <v/>
      </c>
      <c r="O76" s="9">
        <f t="shared" si="3"/>
        <v>0</v>
      </c>
    </row>
    <row r="77" ht="15.75" customHeight="1">
      <c r="A77" s="12"/>
      <c r="B77" s="12" t="s">
        <v>124</v>
      </c>
      <c r="C77" s="12"/>
      <c r="D77" s="13"/>
      <c r="E77" s="13"/>
      <c r="F77" s="13"/>
      <c r="G77" s="13"/>
      <c r="H77" s="13"/>
      <c r="I77" s="13"/>
      <c r="J77" s="13"/>
      <c r="K77" s="13"/>
      <c r="L77" s="13"/>
      <c r="M77" s="14">
        <f t="shared" si="1"/>
        <v>0</v>
      </c>
      <c r="N77" s="15" t="str">
        <f t="shared" si="2"/>
        <v/>
      </c>
      <c r="O77" s="13">
        <f t="shared" si="3"/>
        <v>0</v>
      </c>
    </row>
    <row r="78" ht="15.75" customHeight="1">
      <c r="A78" s="7"/>
      <c r="B78" s="7" t="s">
        <v>125</v>
      </c>
      <c r="C78" s="7"/>
      <c r="D78" s="8">
        <v>30.0</v>
      </c>
      <c r="E78" s="9"/>
      <c r="F78" s="9"/>
      <c r="G78" s="9"/>
      <c r="H78" s="9"/>
      <c r="I78" s="9"/>
      <c r="J78" s="9"/>
      <c r="K78" s="9"/>
      <c r="L78" s="9"/>
      <c r="M78" s="10">
        <f t="shared" si="1"/>
        <v>30</v>
      </c>
      <c r="N78" s="11" t="str">
        <f t="shared" si="2"/>
        <v>惠华报价</v>
      </c>
      <c r="O78" s="9">
        <f t="shared" si="3"/>
        <v>1</v>
      </c>
    </row>
    <row r="79" ht="15.75" customHeight="1">
      <c r="A79" s="12" t="s">
        <v>115</v>
      </c>
      <c r="B79" s="12"/>
      <c r="C79" s="12"/>
      <c r="D79" s="17">
        <v>45.0</v>
      </c>
      <c r="E79" s="13"/>
      <c r="F79" s="13"/>
      <c r="G79" s="13"/>
      <c r="H79" s="13"/>
      <c r="I79" s="13"/>
      <c r="J79" s="13"/>
      <c r="K79" s="13"/>
      <c r="L79" s="13"/>
      <c r="M79" s="18">
        <f t="shared" si="1"/>
        <v>45</v>
      </c>
      <c r="N79" s="15" t="str">
        <f t="shared" si="2"/>
        <v>惠华报价</v>
      </c>
      <c r="O79" s="13">
        <f t="shared" si="3"/>
        <v>1</v>
      </c>
    </row>
    <row r="80" ht="15.75" customHeight="1">
      <c r="A80" s="7" t="s">
        <v>119</v>
      </c>
      <c r="B80" s="7"/>
      <c r="C80" s="7"/>
      <c r="D80" s="9"/>
      <c r="E80" s="9"/>
      <c r="F80" s="8">
        <v>92.0</v>
      </c>
      <c r="G80" s="8">
        <v>83.0</v>
      </c>
      <c r="H80" s="9"/>
      <c r="I80" s="9"/>
      <c r="J80" s="9"/>
      <c r="K80" s="9"/>
      <c r="L80" s="9"/>
      <c r="M80" s="10">
        <f t="shared" si="1"/>
        <v>83</v>
      </c>
      <c r="N80" s="11" t="str">
        <f t="shared" si="2"/>
        <v>神航含税</v>
      </c>
      <c r="O80" s="9">
        <f t="shared" si="3"/>
        <v>2</v>
      </c>
    </row>
    <row r="81" ht="15.75" customHeight="1">
      <c r="A81" s="12" t="s">
        <v>116</v>
      </c>
      <c r="B81" s="12"/>
      <c r="C81" s="12"/>
      <c r="D81" s="17">
        <v>85.0</v>
      </c>
      <c r="E81" s="13"/>
      <c r="F81" s="13"/>
      <c r="G81" s="13"/>
      <c r="H81" s="13"/>
      <c r="I81" s="13"/>
      <c r="J81" s="13"/>
      <c r="K81" s="13"/>
      <c r="L81" s="13"/>
      <c r="M81" s="18">
        <f t="shared" si="1"/>
        <v>85</v>
      </c>
      <c r="N81" s="15" t="str">
        <f t="shared" si="2"/>
        <v>惠华报价</v>
      </c>
      <c r="O81" s="13">
        <f t="shared" si="3"/>
        <v>1</v>
      </c>
    </row>
    <row r="82" ht="15.75" customHeight="1">
      <c r="A82" s="7" t="s">
        <v>113</v>
      </c>
      <c r="B82" s="7"/>
      <c r="C82" s="7"/>
      <c r="D82" s="8">
        <v>142.0</v>
      </c>
      <c r="E82" s="9"/>
      <c r="F82" s="9"/>
      <c r="G82" s="9"/>
      <c r="H82" s="9"/>
      <c r="I82" s="9"/>
      <c r="J82" s="9"/>
      <c r="K82" s="9"/>
      <c r="L82" s="9"/>
      <c r="M82" s="10">
        <f t="shared" si="1"/>
        <v>142</v>
      </c>
      <c r="N82" s="11" t="str">
        <f t="shared" si="2"/>
        <v>惠华报价</v>
      </c>
      <c r="O82" s="9">
        <f t="shared" si="3"/>
        <v>1</v>
      </c>
    </row>
    <row r="83" ht="15.75" customHeight="1">
      <c r="A83" s="12" t="s">
        <v>126</v>
      </c>
      <c r="B83" s="12" t="s">
        <v>127</v>
      </c>
      <c r="C83" s="12"/>
      <c r="D83" s="17">
        <v>40.0</v>
      </c>
      <c r="E83" s="13"/>
      <c r="F83" s="13"/>
      <c r="G83" s="13"/>
      <c r="H83" s="13"/>
      <c r="I83" s="13"/>
      <c r="J83" s="13"/>
      <c r="K83" s="13"/>
      <c r="L83" s="13"/>
      <c r="M83" s="18">
        <f t="shared" si="1"/>
        <v>40</v>
      </c>
      <c r="N83" s="15" t="str">
        <f t="shared" si="2"/>
        <v>惠华报价</v>
      </c>
      <c r="O83" s="13">
        <f t="shared" si="3"/>
        <v>1</v>
      </c>
    </row>
    <row r="84" ht="15.75" customHeight="1">
      <c r="A84" s="7" t="s">
        <v>128</v>
      </c>
      <c r="B84" s="7" t="s">
        <v>129</v>
      </c>
      <c r="C84" s="7"/>
      <c r="D84" s="8">
        <v>42.0</v>
      </c>
      <c r="E84" s="9"/>
      <c r="F84" s="9"/>
      <c r="G84" s="9"/>
      <c r="H84" s="9"/>
      <c r="I84" s="9"/>
      <c r="J84" s="9"/>
      <c r="K84" s="9"/>
      <c r="L84" s="9"/>
      <c r="M84" s="10">
        <f t="shared" si="1"/>
        <v>42</v>
      </c>
      <c r="N84" s="11" t="str">
        <f t="shared" si="2"/>
        <v>惠华报价</v>
      </c>
      <c r="O84" s="9">
        <f t="shared" si="3"/>
        <v>1</v>
      </c>
    </row>
    <row r="85" ht="15.75" customHeight="1">
      <c r="A85" s="12"/>
      <c r="B85" s="12" t="s">
        <v>130</v>
      </c>
      <c r="C85" s="12"/>
      <c r="D85" s="13"/>
      <c r="E85" s="17">
        <v>930.0</v>
      </c>
      <c r="F85" s="13"/>
      <c r="G85" s="13"/>
      <c r="H85" s="13"/>
      <c r="I85" s="13"/>
      <c r="J85" s="13"/>
      <c r="K85" s="13"/>
      <c r="L85" s="13"/>
      <c r="M85" s="18">
        <f t="shared" si="1"/>
        <v>930</v>
      </c>
      <c r="N85" s="15" t="str">
        <f t="shared" si="2"/>
        <v>沃勒含税</v>
      </c>
      <c r="O85" s="13">
        <f t="shared" si="3"/>
        <v>1</v>
      </c>
    </row>
    <row r="86" ht="15.75" customHeight="1">
      <c r="A86" s="7"/>
      <c r="B86" s="7">
        <v>9.4580158E7</v>
      </c>
      <c r="C86" s="7"/>
      <c r="D86" s="9"/>
      <c r="E86" s="8">
        <v>70.0</v>
      </c>
      <c r="F86" s="9"/>
      <c r="G86" s="9"/>
      <c r="H86" s="9"/>
      <c r="I86" s="9"/>
      <c r="J86" s="9"/>
      <c r="K86" s="9"/>
      <c r="L86" s="9"/>
      <c r="M86" s="10">
        <f t="shared" si="1"/>
        <v>70</v>
      </c>
      <c r="N86" s="11" t="str">
        <f t="shared" si="2"/>
        <v>沃勒含税</v>
      </c>
      <c r="O86" s="9">
        <f t="shared" si="3"/>
        <v>1</v>
      </c>
    </row>
    <row r="87" ht="15.75" customHeight="1">
      <c r="A87" s="12"/>
      <c r="B87" s="12" t="s">
        <v>131</v>
      </c>
      <c r="C87" s="12"/>
      <c r="D87" s="13"/>
      <c r="E87" s="17">
        <v>420.0</v>
      </c>
      <c r="F87" s="13"/>
      <c r="G87" s="13"/>
      <c r="H87" s="13"/>
      <c r="I87" s="13"/>
      <c r="J87" s="13"/>
      <c r="K87" s="13"/>
      <c r="L87" s="13"/>
      <c r="M87" s="18">
        <f t="shared" si="1"/>
        <v>420</v>
      </c>
      <c r="N87" s="15" t="str">
        <f t="shared" si="2"/>
        <v>沃勒含税</v>
      </c>
      <c r="O87" s="13">
        <f t="shared" si="3"/>
        <v>1</v>
      </c>
    </row>
    <row r="88" ht="15.75" customHeight="1">
      <c r="A88" s="7"/>
      <c r="B88" s="7" t="s">
        <v>132</v>
      </c>
      <c r="C88" s="7"/>
      <c r="D88" s="9"/>
      <c r="E88" s="8">
        <v>68.0</v>
      </c>
      <c r="F88" s="9"/>
      <c r="G88" s="9"/>
      <c r="H88" s="9"/>
      <c r="I88" s="9"/>
      <c r="J88" s="9"/>
      <c r="K88" s="9"/>
      <c r="L88" s="9"/>
      <c r="M88" s="10">
        <f t="shared" si="1"/>
        <v>68</v>
      </c>
      <c r="N88" s="11" t="str">
        <f t="shared" si="2"/>
        <v>沃勒含税</v>
      </c>
      <c r="O88" s="9">
        <f t="shared" si="3"/>
        <v>1</v>
      </c>
    </row>
    <row r="89" ht="15.75" customHeight="1">
      <c r="A89" s="12"/>
      <c r="B89" s="12" t="s">
        <v>133</v>
      </c>
      <c r="C89" s="12"/>
      <c r="D89" s="13"/>
      <c r="E89" s="17">
        <v>78.0</v>
      </c>
      <c r="F89" s="13"/>
      <c r="G89" s="13"/>
      <c r="H89" s="13"/>
      <c r="I89" s="13"/>
      <c r="J89" s="13"/>
      <c r="K89" s="13"/>
      <c r="L89" s="13"/>
      <c r="M89" s="18">
        <f t="shared" si="1"/>
        <v>78</v>
      </c>
      <c r="N89" s="15" t="str">
        <f t="shared" si="2"/>
        <v>沃勒含税</v>
      </c>
      <c r="O89" s="13">
        <f t="shared" si="3"/>
        <v>1</v>
      </c>
    </row>
    <row r="90" ht="15.75" customHeight="1">
      <c r="A90" s="7"/>
      <c r="B90" s="7" t="s">
        <v>134</v>
      </c>
      <c r="C90" s="7"/>
      <c r="D90" s="9"/>
      <c r="E90" s="8">
        <v>90.0</v>
      </c>
      <c r="F90" s="9"/>
      <c r="G90" s="9"/>
      <c r="H90" s="9"/>
      <c r="I90" s="9"/>
      <c r="J90" s="9"/>
      <c r="K90" s="9"/>
      <c r="L90" s="9"/>
      <c r="M90" s="10">
        <f t="shared" si="1"/>
        <v>90</v>
      </c>
      <c r="N90" s="11" t="str">
        <f t="shared" si="2"/>
        <v>沃勒含税</v>
      </c>
      <c r="O90" s="9">
        <f t="shared" si="3"/>
        <v>1</v>
      </c>
    </row>
    <row r="91" ht="15.75" customHeight="1">
      <c r="A91" s="12"/>
      <c r="B91" s="12" t="s">
        <v>135</v>
      </c>
      <c r="C91" s="12"/>
      <c r="D91" s="13"/>
      <c r="E91" s="17">
        <v>78.0</v>
      </c>
      <c r="F91" s="13"/>
      <c r="G91" s="13"/>
      <c r="H91" s="13"/>
      <c r="I91" s="13"/>
      <c r="J91" s="13"/>
      <c r="K91" s="13"/>
      <c r="L91" s="13"/>
      <c r="M91" s="18">
        <f t="shared" si="1"/>
        <v>78</v>
      </c>
      <c r="N91" s="15" t="str">
        <f t="shared" si="2"/>
        <v>沃勒含税</v>
      </c>
      <c r="O91" s="13">
        <f t="shared" si="3"/>
        <v>1</v>
      </c>
    </row>
    <row r="92" ht="15.75" customHeight="1">
      <c r="A92" s="7"/>
      <c r="B92" s="7" t="s">
        <v>136</v>
      </c>
      <c r="C92" s="7"/>
      <c r="D92" s="9"/>
      <c r="E92" s="8">
        <v>115.0</v>
      </c>
      <c r="F92" s="9"/>
      <c r="G92" s="9"/>
      <c r="H92" s="9"/>
      <c r="I92" s="9"/>
      <c r="J92" s="9"/>
      <c r="K92" s="9"/>
      <c r="L92" s="9"/>
      <c r="M92" s="10">
        <f t="shared" si="1"/>
        <v>115</v>
      </c>
      <c r="N92" s="11" t="str">
        <f t="shared" si="2"/>
        <v>沃勒含税</v>
      </c>
      <c r="O92" s="9">
        <f t="shared" si="3"/>
        <v>1</v>
      </c>
    </row>
    <row r="93" ht="15.75" customHeight="1">
      <c r="A93" s="12"/>
      <c r="B93" s="12" t="s">
        <v>137</v>
      </c>
      <c r="C93" s="12"/>
      <c r="D93" s="13"/>
      <c r="E93" s="17">
        <v>58.0</v>
      </c>
      <c r="F93" s="13"/>
      <c r="G93" s="13"/>
      <c r="H93" s="13"/>
      <c r="I93" s="13"/>
      <c r="J93" s="13"/>
      <c r="K93" s="13"/>
      <c r="L93" s="13"/>
      <c r="M93" s="18">
        <f t="shared" si="1"/>
        <v>58</v>
      </c>
      <c r="N93" s="15" t="str">
        <f t="shared" si="2"/>
        <v>沃勒含税</v>
      </c>
      <c r="O93" s="13">
        <f t="shared" si="3"/>
        <v>1</v>
      </c>
    </row>
    <row r="94" ht="15.75" customHeight="1">
      <c r="A94" s="7"/>
      <c r="B94" s="7">
        <v>5.5596354E7</v>
      </c>
      <c r="C94" s="7"/>
      <c r="D94" s="9"/>
      <c r="E94" s="8">
        <v>560.0</v>
      </c>
      <c r="F94" s="9"/>
      <c r="G94" s="9"/>
      <c r="H94" s="9"/>
      <c r="I94" s="9"/>
      <c r="J94" s="9"/>
      <c r="K94" s="9"/>
      <c r="L94" s="9"/>
      <c r="M94" s="10">
        <f t="shared" si="1"/>
        <v>560</v>
      </c>
      <c r="N94" s="11" t="str">
        <f t="shared" si="2"/>
        <v>沃勒含税</v>
      </c>
      <c r="O94" s="9">
        <f t="shared" si="3"/>
        <v>1</v>
      </c>
    </row>
    <row r="95" ht="15.75" customHeight="1">
      <c r="A95" s="12"/>
      <c r="B95" s="12" t="s">
        <v>138</v>
      </c>
      <c r="C95" s="12"/>
      <c r="D95" s="13"/>
      <c r="E95" s="17">
        <v>160.0</v>
      </c>
      <c r="F95" s="13"/>
      <c r="G95" s="13"/>
      <c r="H95" s="13"/>
      <c r="I95" s="13"/>
      <c r="J95" s="13"/>
      <c r="K95" s="13"/>
      <c r="L95" s="17">
        <v>158.2</v>
      </c>
      <c r="M95" s="18">
        <f t="shared" si="1"/>
        <v>158.2</v>
      </c>
      <c r="N95" s="15" t="str">
        <f t="shared" si="2"/>
        <v>不凡(含税换算)</v>
      </c>
      <c r="O95" s="13">
        <f t="shared" si="3"/>
        <v>2</v>
      </c>
    </row>
    <row r="96" ht="15.75" customHeight="1">
      <c r="A96" s="7"/>
      <c r="B96" s="7" t="s">
        <v>139</v>
      </c>
      <c r="C96" s="7"/>
      <c r="D96" s="9"/>
      <c r="E96" s="8">
        <v>72.0</v>
      </c>
      <c r="F96" s="9"/>
      <c r="G96" s="9"/>
      <c r="H96" s="9"/>
      <c r="I96" s="9"/>
      <c r="J96" s="9"/>
      <c r="K96" s="9"/>
      <c r="L96" s="9"/>
      <c r="M96" s="10">
        <f t="shared" si="1"/>
        <v>72</v>
      </c>
      <c r="N96" s="11" t="str">
        <f t="shared" si="2"/>
        <v>沃勒含税</v>
      </c>
      <c r="O96" s="9">
        <f t="shared" si="3"/>
        <v>1</v>
      </c>
    </row>
    <row r="97" ht="15.75" customHeight="1">
      <c r="A97" s="12"/>
      <c r="B97" s="12" t="s">
        <v>140</v>
      </c>
      <c r="C97" s="12"/>
      <c r="D97" s="13"/>
      <c r="E97" s="17">
        <v>130.0</v>
      </c>
      <c r="F97" s="13"/>
      <c r="G97" s="13"/>
      <c r="H97" s="13"/>
      <c r="I97" s="13"/>
      <c r="J97" s="13"/>
      <c r="K97" s="13"/>
      <c r="L97" s="13"/>
      <c r="M97" s="18">
        <f t="shared" si="1"/>
        <v>130</v>
      </c>
      <c r="N97" s="15" t="str">
        <f t="shared" si="2"/>
        <v>沃勒含税</v>
      </c>
      <c r="O97" s="13">
        <f t="shared" si="3"/>
        <v>1</v>
      </c>
    </row>
    <row r="98" ht="15.75" customHeight="1">
      <c r="A98" s="7"/>
      <c r="B98" s="7" t="s">
        <v>141</v>
      </c>
      <c r="C98" s="7"/>
      <c r="D98" s="9"/>
      <c r="E98" s="8">
        <v>52.0</v>
      </c>
      <c r="F98" s="9"/>
      <c r="G98" s="9"/>
      <c r="H98" s="9"/>
      <c r="I98" s="9"/>
      <c r="J98" s="9"/>
      <c r="K98" s="8">
        <v>47.5</v>
      </c>
      <c r="L98" s="9"/>
      <c r="M98" s="10">
        <f t="shared" si="1"/>
        <v>47.5</v>
      </c>
      <c r="N98" s="11" t="str">
        <f t="shared" si="2"/>
        <v>缤元(含税换算)</v>
      </c>
      <c r="O98" s="9">
        <f t="shared" si="3"/>
        <v>2</v>
      </c>
    </row>
    <row r="99" ht="15.75" customHeight="1">
      <c r="A99" s="12"/>
      <c r="B99" s="12" t="s">
        <v>142</v>
      </c>
      <c r="C99" s="12"/>
      <c r="D99" s="13"/>
      <c r="E99" s="17">
        <v>98.0</v>
      </c>
      <c r="F99" s="13"/>
      <c r="G99" s="13"/>
      <c r="H99" s="13"/>
      <c r="I99" s="13"/>
      <c r="J99" s="13"/>
      <c r="K99" s="13"/>
      <c r="L99" s="13"/>
      <c r="M99" s="18">
        <f t="shared" si="1"/>
        <v>98</v>
      </c>
      <c r="N99" s="15" t="str">
        <f t="shared" si="2"/>
        <v>沃勒含税</v>
      </c>
      <c r="O99" s="13">
        <f t="shared" si="3"/>
        <v>1</v>
      </c>
    </row>
    <row r="100" ht="15.75" customHeight="1">
      <c r="A100" s="7"/>
      <c r="B100" s="7" t="s">
        <v>99</v>
      </c>
      <c r="C100" s="7"/>
      <c r="D100" s="9"/>
      <c r="E100" s="8">
        <v>135.0</v>
      </c>
      <c r="F100" s="9"/>
      <c r="G100" s="9"/>
      <c r="H100" s="9"/>
      <c r="I100" s="9"/>
      <c r="J100" s="9"/>
      <c r="K100" s="9"/>
      <c r="L100" s="9"/>
      <c r="M100" s="10">
        <f t="shared" si="1"/>
        <v>135</v>
      </c>
      <c r="N100" s="11" t="str">
        <f t="shared" si="2"/>
        <v>沃勒含税</v>
      </c>
      <c r="O100" s="9">
        <f t="shared" si="3"/>
        <v>1</v>
      </c>
    </row>
    <row r="101" ht="15.75" customHeight="1">
      <c r="A101" s="12"/>
      <c r="B101" s="12" t="s">
        <v>143</v>
      </c>
      <c r="C101" s="12"/>
      <c r="D101" s="13"/>
      <c r="E101" s="17">
        <v>105.0</v>
      </c>
      <c r="F101" s="13"/>
      <c r="G101" s="17">
        <v>100.0</v>
      </c>
      <c r="H101" s="13"/>
      <c r="I101" s="13"/>
      <c r="J101" s="13"/>
      <c r="K101" s="13"/>
      <c r="L101" s="13"/>
      <c r="M101" s="18">
        <f t="shared" si="1"/>
        <v>100</v>
      </c>
      <c r="N101" s="15" t="str">
        <f t="shared" si="2"/>
        <v>神航含税</v>
      </c>
      <c r="O101" s="13">
        <f t="shared" si="3"/>
        <v>2</v>
      </c>
    </row>
    <row r="102" ht="15.75" customHeight="1">
      <c r="A102" s="7"/>
      <c r="B102" s="7" t="s">
        <v>105</v>
      </c>
      <c r="C102" s="7"/>
      <c r="D102" s="9"/>
      <c r="E102" s="8">
        <v>570.0</v>
      </c>
      <c r="F102" s="9"/>
      <c r="G102" s="9"/>
      <c r="H102" s="9"/>
      <c r="I102" s="9"/>
      <c r="J102" s="9"/>
      <c r="K102" s="9"/>
      <c r="L102" s="9"/>
      <c r="M102" s="10">
        <f t="shared" si="1"/>
        <v>570</v>
      </c>
      <c r="N102" s="11" t="str">
        <f t="shared" si="2"/>
        <v>沃勒含税</v>
      </c>
      <c r="O102" s="9">
        <f t="shared" si="3"/>
        <v>1</v>
      </c>
    </row>
    <row r="103" ht="15.75" customHeight="1">
      <c r="A103" s="12"/>
      <c r="B103" s="12" t="s">
        <v>144</v>
      </c>
      <c r="C103" s="12"/>
      <c r="D103" s="13"/>
      <c r="E103" s="17">
        <v>115.0</v>
      </c>
      <c r="F103" s="13"/>
      <c r="G103" s="13"/>
      <c r="H103" s="13"/>
      <c r="I103" s="13"/>
      <c r="J103" s="13"/>
      <c r="K103" s="13"/>
      <c r="L103" s="13"/>
      <c r="M103" s="18">
        <f t="shared" si="1"/>
        <v>115</v>
      </c>
      <c r="N103" s="15" t="str">
        <f t="shared" si="2"/>
        <v>沃勒含税</v>
      </c>
      <c r="O103" s="13">
        <f t="shared" si="3"/>
        <v>1</v>
      </c>
    </row>
    <row r="104" ht="15.75" customHeight="1">
      <c r="A104" s="7"/>
      <c r="B104" s="7">
        <v>462.0</v>
      </c>
      <c r="C104" s="7"/>
      <c r="D104" s="9"/>
      <c r="E104" s="9"/>
      <c r="F104" s="9"/>
      <c r="G104" s="9"/>
      <c r="H104" s="9"/>
      <c r="I104" s="9"/>
      <c r="J104" s="9"/>
      <c r="K104" s="9"/>
      <c r="L104" s="8">
        <v>45.2</v>
      </c>
      <c r="M104" s="10">
        <f t="shared" si="1"/>
        <v>45.2</v>
      </c>
      <c r="N104" s="11" t="str">
        <f t="shared" si="2"/>
        <v>不凡(含税换算)</v>
      </c>
      <c r="O104" s="9">
        <f t="shared" si="3"/>
        <v>1</v>
      </c>
    </row>
    <row r="105" ht="15.75" customHeight="1">
      <c r="A105" s="12"/>
      <c r="B105" s="12" t="s">
        <v>145</v>
      </c>
      <c r="C105" s="12"/>
      <c r="D105" s="13"/>
      <c r="E105" s="13"/>
      <c r="F105" s="13"/>
      <c r="G105" s="13"/>
      <c r="H105" s="13"/>
      <c r="I105" s="13"/>
      <c r="J105" s="13"/>
      <c r="K105" s="13"/>
      <c r="L105" s="17">
        <v>47.5</v>
      </c>
      <c r="M105" s="18">
        <f t="shared" si="1"/>
        <v>47.5</v>
      </c>
      <c r="N105" s="15" t="str">
        <f t="shared" si="2"/>
        <v>不凡(含税换算)</v>
      </c>
      <c r="O105" s="13">
        <f t="shared" si="3"/>
        <v>1</v>
      </c>
    </row>
    <row r="106" ht="15.75" customHeight="1">
      <c r="A106" s="7"/>
      <c r="B106" s="7">
        <v>2.4104952E7</v>
      </c>
      <c r="C106" s="7"/>
      <c r="D106" s="9"/>
      <c r="E106" s="9"/>
      <c r="F106" s="9"/>
      <c r="G106" s="9"/>
      <c r="H106" s="9"/>
      <c r="I106" s="9"/>
      <c r="J106" s="9"/>
      <c r="K106" s="9"/>
      <c r="L106" s="8">
        <v>141.2</v>
      </c>
      <c r="M106" s="10">
        <f t="shared" si="1"/>
        <v>141.2</v>
      </c>
      <c r="N106" s="11" t="str">
        <f t="shared" si="2"/>
        <v>不凡(含税换算)</v>
      </c>
      <c r="O106" s="9">
        <f t="shared" si="3"/>
        <v>1</v>
      </c>
    </row>
    <row r="107" ht="15.75" customHeight="1">
      <c r="A107" s="12"/>
      <c r="B107" s="12" t="s">
        <v>146</v>
      </c>
      <c r="C107" s="12"/>
      <c r="D107" s="13"/>
      <c r="E107" s="13"/>
      <c r="F107" s="13"/>
      <c r="G107" s="13"/>
      <c r="H107" s="13"/>
      <c r="I107" s="13"/>
      <c r="J107" s="13"/>
      <c r="K107" s="17">
        <v>79.1</v>
      </c>
      <c r="L107" s="13"/>
      <c r="M107" s="18">
        <f t="shared" si="1"/>
        <v>79.1</v>
      </c>
      <c r="N107" s="15" t="str">
        <f t="shared" si="2"/>
        <v>缤元(含税换算)</v>
      </c>
      <c r="O107" s="13">
        <f t="shared" si="3"/>
        <v>1</v>
      </c>
    </row>
    <row r="108" ht="15.75" customHeight="1">
      <c r="A108" s="7"/>
      <c r="B108" s="7" t="s">
        <v>147</v>
      </c>
      <c r="C108" s="7"/>
      <c r="D108" s="9"/>
      <c r="E108" s="8">
        <v>170.0</v>
      </c>
      <c r="F108" s="9"/>
      <c r="G108" s="9"/>
      <c r="H108" s="9"/>
      <c r="I108" s="9"/>
      <c r="J108" s="9"/>
      <c r="K108" s="8">
        <v>175.1</v>
      </c>
      <c r="L108" s="8">
        <v>158.2</v>
      </c>
      <c r="M108" s="10">
        <f t="shared" si="1"/>
        <v>158.2</v>
      </c>
      <c r="N108" s="11" t="str">
        <f t="shared" si="2"/>
        <v>不凡(含税换算)</v>
      </c>
      <c r="O108" s="9">
        <f t="shared" si="3"/>
        <v>3</v>
      </c>
    </row>
    <row r="109" ht="15.75" customHeight="1">
      <c r="A109" s="12"/>
      <c r="B109" s="12" t="s">
        <v>148</v>
      </c>
      <c r="C109" s="12"/>
      <c r="D109" s="13"/>
      <c r="E109" s="13"/>
      <c r="F109" s="13"/>
      <c r="G109" s="13"/>
      <c r="H109" s="13"/>
      <c r="I109" s="13"/>
      <c r="J109" s="13"/>
      <c r="K109" s="17">
        <v>81.4</v>
      </c>
      <c r="L109" s="13"/>
      <c r="M109" s="18">
        <f t="shared" si="1"/>
        <v>81.4</v>
      </c>
      <c r="N109" s="15" t="str">
        <f t="shared" si="2"/>
        <v>缤元(含税换算)</v>
      </c>
      <c r="O109" s="13">
        <f t="shared" si="3"/>
        <v>1</v>
      </c>
    </row>
    <row r="110" ht="15.75" customHeight="1">
      <c r="A110" s="7"/>
      <c r="B110" s="7" t="s">
        <v>149</v>
      </c>
      <c r="C110" s="7"/>
      <c r="D110" s="9"/>
      <c r="E110" s="9"/>
      <c r="F110" s="9"/>
      <c r="G110" s="8">
        <v>158.0</v>
      </c>
      <c r="H110" s="9"/>
      <c r="I110" s="9"/>
      <c r="J110" s="9"/>
      <c r="K110" s="9"/>
      <c r="L110" s="9"/>
      <c r="M110" s="10">
        <f t="shared" si="1"/>
        <v>158</v>
      </c>
      <c r="N110" s="11" t="str">
        <f t="shared" si="2"/>
        <v>神航含税</v>
      </c>
      <c r="O110" s="9">
        <f t="shared" si="3"/>
        <v>1</v>
      </c>
    </row>
    <row r="111" ht="15.75" customHeight="1">
      <c r="A111" s="12"/>
      <c r="B111" s="12" t="s">
        <v>150</v>
      </c>
      <c r="C111" s="12"/>
      <c r="D111" s="13"/>
      <c r="E111" s="13"/>
      <c r="F111" s="13"/>
      <c r="G111" s="17">
        <v>82.0</v>
      </c>
      <c r="H111" s="13"/>
      <c r="I111" s="13"/>
      <c r="J111" s="13"/>
      <c r="K111" s="13"/>
      <c r="L111" s="13"/>
      <c r="M111" s="18">
        <f t="shared" si="1"/>
        <v>82</v>
      </c>
      <c r="N111" s="15" t="str">
        <f t="shared" si="2"/>
        <v>神航含税</v>
      </c>
      <c r="O111" s="13">
        <f t="shared" si="3"/>
        <v>1</v>
      </c>
    </row>
    <row r="112" ht="15.75" customHeight="1">
      <c r="A112" s="7"/>
      <c r="B112" s="7" t="s">
        <v>151</v>
      </c>
      <c r="C112" s="7"/>
      <c r="D112" s="9"/>
      <c r="E112" s="9"/>
      <c r="F112" s="9"/>
      <c r="G112" s="8">
        <v>169.0</v>
      </c>
      <c r="H112" s="9"/>
      <c r="I112" s="9"/>
      <c r="J112" s="9"/>
      <c r="K112" s="9"/>
      <c r="L112" s="9"/>
      <c r="M112" s="10">
        <f t="shared" si="1"/>
        <v>169</v>
      </c>
      <c r="N112" s="11" t="str">
        <f t="shared" si="2"/>
        <v>神航含税</v>
      </c>
      <c r="O112" s="9">
        <f t="shared" si="3"/>
        <v>1</v>
      </c>
    </row>
    <row r="113" ht="15.75" customHeight="1">
      <c r="A113" s="12"/>
      <c r="B113" s="12" t="s">
        <v>152</v>
      </c>
      <c r="C113" s="12"/>
      <c r="D113" s="13"/>
      <c r="E113" s="13"/>
      <c r="F113" s="13"/>
      <c r="G113" s="17">
        <v>60.0</v>
      </c>
      <c r="H113" s="13"/>
      <c r="I113" s="13"/>
      <c r="J113" s="13"/>
      <c r="K113" s="13"/>
      <c r="L113" s="13"/>
      <c r="M113" s="18">
        <f t="shared" si="1"/>
        <v>60</v>
      </c>
      <c r="N113" s="15" t="str">
        <f t="shared" si="2"/>
        <v>神航含税</v>
      </c>
      <c r="O113" s="13">
        <f t="shared" si="3"/>
        <v>1</v>
      </c>
    </row>
    <row r="114" ht="15.75" customHeight="1">
      <c r="A114" s="7"/>
      <c r="B114" s="7" t="s">
        <v>153</v>
      </c>
      <c r="C114" s="7"/>
      <c r="D114" s="9"/>
      <c r="E114" s="9"/>
      <c r="F114" s="9"/>
      <c r="G114" s="8">
        <v>48.0</v>
      </c>
      <c r="H114" s="9"/>
      <c r="I114" s="9"/>
      <c r="J114" s="9"/>
      <c r="K114" s="9"/>
      <c r="L114" s="9"/>
      <c r="M114" s="10">
        <f t="shared" si="1"/>
        <v>48</v>
      </c>
      <c r="N114" s="11" t="str">
        <f t="shared" si="2"/>
        <v>神航含税</v>
      </c>
      <c r="O114" s="9">
        <f t="shared" si="3"/>
        <v>1</v>
      </c>
    </row>
    <row r="115" ht="15.75" customHeight="1">
      <c r="A115" s="12"/>
      <c r="B115" s="12" t="s">
        <v>154</v>
      </c>
      <c r="C115" s="12"/>
      <c r="D115" s="13"/>
      <c r="E115" s="17">
        <v>205.0</v>
      </c>
      <c r="F115" s="13"/>
      <c r="G115" s="13"/>
      <c r="H115" s="13"/>
      <c r="I115" s="13"/>
      <c r="J115" s="13"/>
      <c r="K115" s="13"/>
      <c r="L115" s="13"/>
      <c r="M115" s="18">
        <f t="shared" si="1"/>
        <v>205</v>
      </c>
      <c r="N115" s="15" t="str">
        <f t="shared" si="2"/>
        <v>沃勒含税</v>
      </c>
      <c r="O115" s="13">
        <f t="shared" si="3"/>
        <v>1</v>
      </c>
    </row>
    <row r="116" ht="15.75" customHeight="1">
      <c r="A116" s="7"/>
      <c r="B116" s="7" t="s">
        <v>155</v>
      </c>
      <c r="C116" s="7"/>
      <c r="D116" s="9"/>
      <c r="E116" s="8">
        <v>330.0</v>
      </c>
      <c r="F116" s="9"/>
      <c r="G116" s="9"/>
      <c r="H116" s="9"/>
      <c r="I116" s="9"/>
      <c r="J116" s="9"/>
      <c r="K116" s="9"/>
      <c r="L116" s="9"/>
      <c r="M116" s="10">
        <f t="shared" si="1"/>
        <v>330</v>
      </c>
      <c r="N116" s="11" t="str">
        <f t="shared" si="2"/>
        <v>沃勒含税</v>
      </c>
      <c r="O116" s="9">
        <f t="shared" si="3"/>
        <v>1</v>
      </c>
    </row>
    <row r="117" ht="15.75" customHeight="1">
      <c r="A117" s="12"/>
      <c r="B117" s="12" t="s">
        <v>156</v>
      </c>
      <c r="C117" s="12"/>
      <c r="D117" s="13"/>
      <c r="E117" s="13"/>
      <c r="F117" s="13"/>
      <c r="G117" s="13"/>
      <c r="H117" s="13"/>
      <c r="I117" s="13"/>
      <c r="J117" s="13"/>
      <c r="K117" s="17">
        <v>93.8</v>
      </c>
      <c r="L117" s="13"/>
      <c r="M117" s="18">
        <f t="shared" si="1"/>
        <v>93.8</v>
      </c>
      <c r="N117" s="15" t="str">
        <f t="shared" si="2"/>
        <v>缤元(含税换算)</v>
      </c>
      <c r="O117" s="13">
        <f t="shared" si="3"/>
        <v>1</v>
      </c>
    </row>
    <row r="118" ht="15.75" customHeight="1">
      <c r="A118" s="7"/>
      <c r="B118" s="7" t="s">
        <v>157</v>
      </c>
      <c r="C118" s="7"/>
      <c r="D118" s="9"/>
      <c r="E118" s="9"/>
      <c r="F118" s="9"/>
      <c r="G118" s="9"/>
      <c r="H118" s="9"/>
      <c r="I118" s="9"/>
      <c r="J118" s="9"/>
      <c r="K118" s="9"/>
      <c r="L118" s="9"/>
      <c r="M118" s="16">
        <f t="shared" si="1"/>
        <v>0</v>
      </c>
      <c r="N118" s="11" t="str">
        <f t="shared" si="2"/>
        <v/>
      </c>
      <c r="O118" s="9">
        <f t="shared" si="3"/>
        <v>0</v>
      </c>
    </row>
    <row r="119" ht="15.75" customHeight="1">
      <c r="A119" s="12"/>
      <c r="B119" s="12">
        <v>9025210.0</v>
      </c>
      <c r="C119" s="12"/>
      <c r="D119" s="13"/>
      <c r="E119" s="13"/>
      <c r="F119" s="13"/>
      <c r="G119" s="13"/>
      <c r="H119" s="13"/>
      <c r="I119" s="13"/>
      <c r="J119" s="13"/>
      <c r="K119" s="13"/>
      <c r="L119" s="17">
        <v>139.0</v>
      </c>
      <c r="M119" s="18">
        <f t="shared" si="1"/>
        <v>139</v>
      </c>
      <c r="N119" s="15" t="str">
        <f t="shared" si="2"/>
        <v>不凡(含税换算)</v>
      </c>
      <c r="O119" s="13">
        <f t="shared" si="3"/>
        <v>1</v>
      </c>
    </row>
    <row r="120" ht="15.75" customHeight="1">
      <c r="A120" s="7"/>
      <c r="B120" s="7">
        <v>2.4538192E7</v>
      </c>
      <c r="C120" s="7"/>
      <c r="D120" s="9"/>
      <c r="E120" s="9"/>
      <c r="F120" s="9"/>
      <c r="G120" s="9"/>
      <c r="H120" s="9"/>
      <c r="I120" s="9"/>
      <c r="J120" s="9"/>
      <c r="K120" s="9"/>
      <c r="L120" s="8">
        <v>135.6</v>
      </c>
      <c r="M120" s="10">
        <f t="shared" si="1"/>
        <v>135.6</v>
      </c>
      <c r="N120" s="11" t="str">
        <f t="shared" si="2"/>
        <v>不凡(含税换算)</v>
      </c>
      <c r="O120" s="9">
        <f t="shared" si="3"/>
        <v>1</v>
      </c>
    </row>
    <row r="121" ht="15.75" customHeight="1">
      <c r="A121" s="12" t="s">
        <v>158</v>
      </c>
      <c r="B121" s="12">
        <v>2.4117916E7</v>
      </c>
      <c r="C121" s="12"/>
      <c r="D121" s="13"/>
      <c r="E121" s="17">
        <v>210.0</v>
      </c>
      <c r="F121" s="13"/>
      <c r="G121" s="13"/>
      <c r="H121" s="13"/>
      <c r="I121" s="13"/>
      <c r="J121" s="13"/>
      <c r="K121" s="13"/>
      <c r="L121" s="17">
        <v>293.8</v>
      </c>
      <c r="M121" s="18">
        <f t="shared" si="1"/>
        <v>210</v>
      </c>
      <c r="N121" s="15" t="str">
        <f t="shared" si="2"/>
        <v>沃勒含税</v>
      </c>
      <c r="O121" s="13">
        <f t="shared" si="3"/>
        <v>2</v>
      </c>
    </row>
    <row r="122" ht="15.75" customHeight="1">
      <c r="A122" s="7"/>
      <c r="B122" s="7" t="s">
        <v>159</v>
      </c>
      <c r="C122" s="7"/>
      <c r="D122" s="9"/>
      <c r="E122" s="8">
        <v>1500.0</v>
      </c>
      <c r="F122" s="9"/>
      <c r="G122" s="9"/>
      <c r="H122" s="9"/>
      <c r="I122" s="9"/>
      <c r="J122" s="9"/>
      <c r="K122" s="9"/>
      <c r="L122" s="9"/>
      <c r="M122" s="10">
        <f t="shared" si="1"/>
        <v>1500</v>
      </c>
      <c r="N122" s="11" t="str">
        <f t="shared" si="2"/>
        <v>沃勒含税</v>
      </c>
      <c r="O122" s="9">
        <f t="shared" si="3"/>
        <v>1</v>
      </c>
    </row>
    <row r="123" ht="15.75" customHeight="1">
      <c r="A123" s="12"/>
      <c r="B123" s="12">
        <v>4320885.0</v>
      </c>
      <c r="C123" s="12"/>
      <c r="D123" s="13"/>
      <c r="E123" s="13"/>
      <c r="F123" s="17">
        <v>65.0</v>
      </c>
      <c r="G123" s="13"/>
      <c r="H123" s="13"/>
      <c r="I123" s="13"/>
      <c r="J123" s="13"/>
      <c r="K123" s="13"/>
      <c r="L123" s="13"/>
      <c r="M123" s="18">
        <f t="shared" si="1"/>
        <v>65</v>
      </c>
      <c r="N123" s="15" t="str">
        <f t="shared" si="2"/>
        <v>玉旋含税</v>
      </c>
      <c r="O123" s="13">
        <f t="shared" si="3"/>
        <v>1</v>
      </c>
    </row>
    <row r="124" ht="15.75" customHeight="1">
      <c r="A124" s="7"/>
      <c r="B124" s="7">
        <v>7610246.0</v>
      </c>
      <c r="C124" s="7"/>
      <c r="D124" s="9"/>
      <c r="E124" s="9"/>
      <c r="F124" s="8">
        <v>65.0</v>
      </c>
      <c r="G124" s="9"/>
      <c r="H124" s="9"/>
      <c r="I124" s="9"/>
      <c r="J124" s="9"/>
      <c r="K124" s="9"/>
      <c r="L124" s="9"/>
      <c r="M124" s="10">
        <f t="shared" si="1"/>
        <v>65</v>
      </c>
      <c r="N124" s="11" t="str">
        <f t="shared" si="2"/>
        <v>玉旋含税</v>
      </c>
      <c r="O124" s="9">
        <f t="shared" si="3"/>
        <v>1</v>
      </c>
    </row>
    <row r="125" ht="15.75" customHeight="1">
      <c r="A125" s="12"/>
      <c r="B125" s="12" t="s">
        <v>160</v>
      </c>
      <c r="C125" s="12"/>
      <c r="D125" s="13"/>
      <c r="E125" s="13"/>
      <c r="F125" s="13"/>
      <c r="G125" s="17">
        <v>63.0</v>
      </c>
      <c r="H125" s="13"/>
      <c r="I125" s="13"/>
      <c r="J125" s="13"/>
      <c r="K125" s="13"/>
      <c r="L125" s="13"/>
      <c r="M125" s="18">
        <f t="shared" si="1"/>
        <v>63</v>
      </c>
      <c r="N125" s="15" t="str">
        <f t="shared" si="2"/>
        <v>神航含税</v>
      </c>
      <c r="O125" s="13">
        <f t="shared" si="3"/>
        <v>1</v>
      </c>
    </row>
    <row r="126" ht="15.75" customHeight="1">
      <c r="A126" s="7" t="s">
        <v>161</v>
      </c>
      <c r="B126" s="19" t="s">
        <v>162</v>
      </c>
      <c r="C126" s="7"/>
      <c r="D126" s="8">
        <v>320.0</v>
      </c>
      <c r="E126" s="9"/>
      <c r="F126" s="9"/>
      <c r="G126" s="9"/>
      <c r="H126" s="9"/>
      <c r="I126" s="9"/>
      <c r="J126" s="9"/>
      <c r="K126" s="9"/>
      <c r="L126" s="9"/>
      <c r="M126" s="10">
        <f t="shared" si="1"/>
        <v>320</v>
      </c>
      <c r="N126" s="11" t="str">
        <f t="shared" si="2"/>
        <v>惠华报价</v>
      </c>
      <c r="O126" s="9">
        <f t="shared" si="3"/>
        <v>1</v>
      </c>
    </row>
    <row r="127" ht="15.75" customHeight="1">
      <c r="A127" s="12" t="s">
        <v>163</v>
      </c>
      <c r="B127" s="20" t="s">
        <v>164</v>
      </c>
      <c r="C127" s="12"/>
      <c r="D127" s="13"/>
      <c r="E127" s="13"/>
      <c r="F127" s="13"/>
      <c r="G127" s="13"/>
      <c r="H127" s="13"/>
      <c r="I127" s="13"/>
      <c r="J127" s="13"/>
      <c r="K127" s="13"/>
      <c r="L127" s="13"/>
      <c r="M127" s="14">
        <f t="shared" si="1"/>
        <v>0</v>
      </c>
      <c r="N127" s="15" t="str">
        <f t="shared" si="2"/>
        <v/>
      </c>
      <c r="O127" s="13">
        <f t="shared" si="3"/>
        <v>0</v>
      </c>
    </row>
    <row r="128" ht="15.75" customHeight="1">
      <c r="A128" s="7" t="s">
        <v>165</v>
      </c>
      <c r="B128" s="19" t="s">
        <v>164</v>
      </c>
      <c r="C128" s="7"/>
      <c r="D128" s="9"/>
      <c r="E128" s="9"/>
      <c r="F128" s="9"/>
      <c r="G128" s="9"/>
      <c r="H128" s="9"/>
      <c r="I128" s="9"/>
      <c r="J128" s="9"/>
      <c r="K128" s="9"/>
      <c r="L128" s="9"/>
      <c r="M128" s="16">
        <f t="shared" si="1"/>
        <v>0</v>
      </c>
      <c r="N128" s="11" t="str">
        <f t="shared" si="2"/>
        <v/>
      </c>
      <c r="O128" s="9">
        <f t="shared" si="3"/>
        <v>0</v>
      </c>
    </row>
    <row r="129" ht="15.75" customHeight="1">
      <c r="A129" s="12" t="s">
        <v>166</v>
      </c>
      <c r="B129" s="20" t="s">
        <v>167</v>
      </c>
      <c r="C129" s="12"/>
      <c r="D129" s="17">
        <v>75.0</v>
      </c>
      <c r="E129" s="13"/>
      <c r="F129" s="13"/>
      <c r="G129" s="13"/>
      <c r="H129" s="13"/>
      <c r="I129" s="17">
        <v>65.0</v>
      </c>
      <c r="J129" s="13"/>
      <c r="K129" s="13"/>
      <c r="L129" s="13"/>
      <c r="M129" s="18">
        <f t="shared" si="1"/>
        <v>65</v>
      </c>
      <c r="N129" s="15" t="str">
        <f t="shared" si="2"/>
        <v>约翰含税</v>
      </c>
      <c r="O129" s="13">
        <f t="shared" si="3"/>
        <v>2</v>
      </c>
    </row>
    <row r="130" ht="15.75" customHeight="1">
      <c r="A130" s="7" t="s">
        <v>168</v>
      </c>
      <c r="B130" s="19" t="s">
        <v>169</v>
      </c>
      <c r="C130" s="7"/>
      <c r="D130" s="8">
        <v>130.0</v>
      </c>
      <c r="E130" s="9"/>
      <c r="F130" s="9"/>
      <c r="G130" s="9"/>
      <c r="H130" s="9"/>
      <c r="I130" s="8">
        <v>135.0</v>
      </c>
      <c r="J130" s="9"/>
      <c r="K130" s="9"/>
      <c r="L130" s="9"/>
      <c r="M130" s="10">
        <f t="shared" si="1"/>
        <v>130</v>
      </c>
      <c r="N130" s="11" t="str">
        <f t="shared" si="2"/>
        <v>惠华报价</v>
      </c>
      <c r="O130" s="9">
        <f t="shared" si="3"/>
        <v>2</v>
      </c>
    </row>
    <row r="131" ht="15.75" customHeight="1">
      <c r="A131" s="12" t="s">
        <v>170</v>
      </c>
      <c r="B131" s="20" t="s">
        <v>171</v>
      </c>
      <c r="C131" s="12"/>
      <c r="D131" s="13"/>
      <c r="E131" s="13"/>
      <c r="F131" s="13"/>
      <c r="G131" s="13"/>
      <c r="H131" s="13"/>
      <c r="I131" s="17">
        <v>37.0</v>
      </c>
      <c r="J131" s="13"/>
      <c r="K131" s="13"/>
      <c r="L131" s="13"/>
      <c r="M131" s="18">
        <f t="shared" si="1"/>
        <v>37</v>
      </c>
      <c r="N131" s="15" t="str">
        <f t="shared" si="2"/>
        <v>约翰含税</v>
      </c>
      <c r="O131" s="13">
        <f t="shared" si="3"/>
        <v>1</v>
      </c>
    </row>
    <row r="132" ht="15.75" customHeight="1">
      <c r="A132" s="7" t="s">
        <v>172</v>
      </c>
      <c r="B132" s="19" t="s">
        <v>164</v>
      </c>
      <c r="C132" s="7"/>
      <c r="D132" s="8">
        <v>46.0</v>
      </c>
      <c r="E132" s="9"/>
      <c r="F132" s="9"/>
      <c r="G132" s="9"/>
      <c r="H132" s="9"/>
      <c r="I132" s="9"/>
      <c r="J132" s="9"/>
      <c r="K132" s="9"/>
      <c r="L132" s="9"/>
      <c r="M132" s="10">
        <f t="shared" si="1"/>
        <v>46</v>
      </c>
      <c r="N132" s="11" t="str">
        <f t="shared" si="2"/>
        <v>惠华报价</v>
      </c>
      <c r="O132" s="9">
        <f t="shared" si="3"/>
        <v>1</v>
      </c>
    </row>
    <row r="133" ht="15.75" customHeight="1">
      <c r="A133" s="12" t="s">
        <v>173</v>
      </c>
      <c r="B133" s="20" t="s">
        <v>167</v>
      </c>
      <c r="C133" s="12"/>
      <c r="D133" s="17">
        <v>235.0</v>
      </c>
      <c r="E133" s="13"/>
      <c r="F133" s="13"/>
      <c r="G133" s="13"/>
      <c r="H133" s="13"/>
      <c r="I133" s="13"/>
      <c r="J133" s="17">
        <v>240.0</v>
      </c>
      <c r="K133" s="13"/>
      <c r="L133" s="13"/>
      <c r="M133" s="18">
        <f t="shared" si="1"/>
        <v>235</v>
      </c>
      <c r="N133" s="15" t="str">
        <f t="shared" si="2"/>
        <v>惠华报价</v>
      </c>
      <c r="O133" s="13">
        <f t="shared" si="3"/>
        <v>2</v>
      </c>
    </row>
    <row r="134" ht="15.75" customHeight="1">
      <c r="A134" s="7" t="s">
        <v>174</v>
      </c>
      <c r="B134" s="19" t="s">
        <v>175</v>
      </c>
      <c r="C134" s="7"/>
      <c r="D134" s="8">
        <v>310.0</v>
      </c>
      <c r="E134" s="9"/>
      <c r="F134" s="9"/>
      <c r="G134" s="9"/>
      <c r="H134" s="9"/>
      <c r="I134" s="9"/>
      <c r="J134" s="9"/>
      <c r="K134" s="9"/>
      <c r="L134" s="9"/>
      <c r="M134" s="10">
        <f t="shared" si="1"/>
        <v>310</v>
      </c>
      <c r="N134" s="11" t="str">
        <f t="shared" si="2"/>
        <v>惠华报价</v>
      </c>
      <c r="O134" s="9">
        <f t="shared" si="3"/>
        <v>1</v>
      </c>
    </row>
    <row r="135" ht="15.75" customHeight="1">
      <c r="A135" s="12" t="s">
        <v>176</v>
      </c>
      <c r="B135" s="20" t="s">
        <v>177</v>
      </c>
      <c r="C135" s="12"/>
      <c r="D135" s="17">
        <v>78.0</v>
      </c>
      <c r="E135" s="13"/>
      <c r="F135" s="13"/>
      <c r="G135" s="13"/>
      <c r="H135" s="13"/>
      <c r="I135" s="13"/>
      <c r="J135" s="17">
        <v>81.0</v>
      </c>
      <c r="K135" s="13"/>
      <c r="L135" s="13"/>
      <c r="M135" s="18">
        <f t="shared" si="1"/>
        <v>78</v>
      </c>
      <c r="N135" s="15" t="str">
        <f t="shared" si="2"/>
        <v>惠华报价</v>
      </c>
      <c r="O135" s="13">
        <f t="shared" si="3"/>
        <v>2</v>
      </c>
    </row>
    <row r="136" ht="15.75" customHeight="1">
      <c r="A136" s="7">
        <v>7.700600252E9</v>
      </c>
      <c r="B136" s="7"/>
      <c r="C136" s="7"/>
      <c r="D136" s="9"/>
      <c r="E136" s="9"/>
      <c r="F136" s="9"/>
      <c r="G136" s="9"/>
      <c r="H136" s="9"/>
      <c r="I136" s="9"/>
      <c r="J136" s="9"/>
      <c r="K136" s="9"/>
      <c r="L136" s="9"/>
      <c r="M136" s="16">
        <f t="shared" si="1"/>
        <v>0</v>
      </c>
      <c r="N136" s="11" t="str">
        <f t="shared" si="2"/>
        <v/>
      </c>
      <c r="O136" s="9">
        <f t="shared" si="3"/>
        <v>0</v>
      </c>
    </row>
    <row r="137" ht="15.75" customHeight="1">
      <c r="A137" s="12" t="s">
        <v>178</v>
      </c>
      <c r="B137" s="12"/>
      <c r="C137" s="12"/>
      <c r="D137" s="13"/>
      <c r="E137" s="13"/>
      <c r="F137" s="17">
        <v>62.0</v>
      </c>
      <c r="G137" s="13"/>
      <c r="H137" s="13"/>
      <c r="I137" s="13"/>
      <c r="J137" s="13"/>
      <c r="K137" s="13"/>
      <c r="L137" s="13"/>
      <c r="M137" s="18">
        <f t="shared" si="1"/>
        <v>62</v>
      </c>
      <c r="N137" s="15" t="str">
        <f t="shared" si="2"/>
        <v>玉旋含税</v>
      </c>
      <c r="O137" s="13">
        <f t="shared" si="3"/>
        <v>1</v>
      </c>
    </row>
    <row r="138" ht="15.75" customHeight="1">
      <c r="A138" s="7" t="s">
        <v>179</v>
      </c>
      <c r="B138" s="7"/>
      <c r="C138" s="7"/>
      <c r="D138" s="9"/>
      <c r="E138" s="9"/>
      <c r="F138" s="9"/>
      <c r="G138" s="9"/>
      <c r="H138" s="9"/>
      <c r="I138" s="9"/>
      <c r="J138" s="9"/>
      <c r="K138" s="8">
        <v>81.4</v>
      </c>
      <c r="L138" s="9"/>
      <c r="M138" s="10">
        <f t="shared" si="1"/>
        <v>81.4</v>
      </c>
      <c r="N138" s="11" t="str">
        <f t="shared" si="2"/>
        <v>缤元(含税换算)</v>
      </c>
      <c r="O138" s="9">
        <f t="shared" si="3"/>
        <v>1</v>
      </c>
    </row>
    <row r="139" ht="15.75" customHeight="1">
      <c r="A139" s="12" t="s">
        <v>180</v>
      </c>
      <c r="B139" s="12"/>
      <c r="C139" s="12"/>
      <c r="D139" s="13"/>
      <c r="E139" s="13"/>
      <c r="F139" s="13"/>
      <c r="G139" s="13"/>
      <c r="H139" s="13"/>
      <c r="I139" s="13"/>
      <c r="J139" s="13"/>
      <c r="K139" s="17">
        <v>81.4</v>
      </c>
      <c r="L139" s="13"/>
      <c r="M139" s="18">
        <f t="shared" si="1"/>
        <v>81.4</v>
      </c>
      <c r="N139" s="15" t="str">
        <f t="shared" si="2"/>
        <v>缤元(含税换算)</v>
      </c>
      <c r="O139" s="13">
        <f t="shared" si="3"/>
        <v>1</v>
      </c>
    </row>
    <row r="140" ht="15.75" customHeight="1">
      <c r="A140" s="7" t="s">
        <v>53</v>
      </c>
      <c r="B140" s="7"/>
      <c r="C140" s="7"/>
      <c r="D140" s="9"/>
      <c r="E140" s="9"/>
      <c r="F140" s="9"/>
      <c r="G140" s="9"/>
      <c r="H140" s="8">
        <v>165.0</v>
      </c>
      <c r="I140" s="9"/>
      <c r="J140" s="9"/>
      <c r="K140" s="9"/>
      <c r="L140" s="9"/>
      <c r="M140" s="10">
        <f t="shared" si="1"/>
        <v>165</v>
      </c>
      <c r="N140" s="11" t="str">
        <f t="shared" si="2"/>
        <v>立众含税</v>
      </c>
      <c r="O140" s="9">
        <f t="shared" si="3"/>
        <v>1</v>
      </c>
    </row>
    <row r="141" ht="15.75" customHeight="1">
      <c r="A141" s="12">
        <v>2.4547438E7</v>
      </c>
      <c r="B141" s="12"/>
      <c r="C141" s="12"/>
      <c r="D141" s="13"/>
      <c r="E141" s="13"/>
      <c r="F141" s="13"/>
      <c r="G141" s="13"/>
      <c r="H141" s="13"/>
      <c r="I141" s="13"/>
      <c r="J141" s="13"/>
      <c r="K141" s="13"/>
      <c r="L141" s="13"/>
      <c r="M141" s="14">
        <f t="shared" si="1"/>
        <v>0</v>
      </c>
      <c r="N141" s="15" t="str">
        <f t="shared" si="2"/>
        <v/>
      </c>
      <c r="O141" s="13">
        <f t="shared" si="3"/>
        <v>0</v>
      </c>
    </row>
    <row r="142" ht="15.75" customHeight="1">
      <c r="A142" s="7" t="s">
        <v>181</v>
      </c>
      <c r="B142" s="7" t="s">
        <v>182</v>
      </c>
      <c r="C142" s="7"/>
      <c r="D142" s="8">
        <v>225.0</v>
      </c>
      <c r="E142" s="9"/>
      <c r="F142" s="9"/>
      <c r="G142" s="9"/>
      <c r="H142" s="9"/>
      <c r="I142" s="9"/>
      <c r="J142" s="9"/>
      <c r="K142" s="8">
        <v>271.2</v>
      </c>
      <c r="L142" s="9"/>
      <c r="M142" s="10">
        <f t="shared" si="1"/>
        <v>225</v>
      </c>
      <c r="N142" s="11" t="str">
        <f t="shared" si="2"/>
        <v>惠华报价</v>
      </c>
      <c r="O142" s="9">
        <f t="shared" si="3"/>
        <v>2</v>
      </c>
    </row>
    <row r="143" ht="15.75" customHeight="1">
      <c r="A143" s="12" t="s">
        <v>183</v>
      </c>
      <c r="B143" s="12" t="s">
        <v>184</v>
      </c>
      <c r="C143" s="12" t="s">
        <v>185</v>
      </c>
      <c r="D143" s="13"/>
      <c r="E143" s="13"/>
      <c r="F143" s="13"/>
      <c r="G143" s="13"/>
      <c r="H143" s="13"/>
      <c r="I143" s="13"/>
      <c r="J143" s="13"/>
      <c r="K143" s="17">
        <v>180.8</v>
      </c>
      <c r="L143" s="13"/>
      <c r="M143" s="18">
        <f t="shared" si="1"/>
        <v>180.8</v>
      </c>
      <c r="N143" s="15" t="str">
        <f t="shared" si="2"/>
        <v>缤元(含税换算)</v>
      </c>
      <c r="O143" s="13">
        <f t="shared" si="3"/>
        <v>1</v>
      </c>
    </row>
    <row r="144" ht="15.75" customHeight="1">
      <c r="A144" s="7" t="s">
        <v>186</v>
      </c>
      <c r="B144" s="7" t="s">
        <v>187</v>
      </c>
      <c r="C144" s="7"/>
      <c r="D144" s="9"/>
      <c r="E144" s="9"/>
      <c r="F144" s="9"/>
      <c r="G144" s="9"/>
      <c r="H144" s="9"/>
      <c r="I144" s="9"/>
      <c r="J144" s="9"/>
      <c r="K144" s="8">
        <v>180.8</v>
      </c>
      <c r="L144" s="9"/>
      <c r="M144" s="10">
        <f t="shared" si="1"/>
        <v>180.8</v>
      </c>
      <c r="N144" s="11" t="str">
        <f t="shared" si="2"/>
        <v>缤元(含税换算)</v>
      </c>
      <c r="O144" s="9">
        <f t="shared" si="3"/>
        <v>1</v>
      </c>
    </row>
    <row r="145" ht="15.75" customHeight="1">
      <c r="A145" s="12" t="s">
        <v>188</v>
      </c>
      <c r="B145" s="12" t="s">
        <v>189</v>
      </c>
      <c r="C145" s="12" t="s">
        <v>190</v>
      </c>
      <c r="D145" s="13"/>
      <c r="E145" s="13"/>
      <c r="F145" s="13"/>
      <c r="G145" s="13"/>
      <c r="H145" s="13"/>
      <c r="I145" s="13"/>
      <c r="J145" s="13"/>
      <c r="K145" s="17">
        <v>113.0</v>
      </c>
      <c r="L145" s="13"/>
      <c r="M145" s="18">
        <f t="shared" si="1"/>
        <v>113</v>
      </c>
      <c r="N145" s="15" t="str">
        <f t="shared" si="2"/>
        <v>缤元(含税换算)</v>
      </c>
      <c r="O145" s="13">
        <f t="shared" si="3"/>
        <v>1</v>
      </c>
    </row>
    <row r="146" ht="15.75" customHeight="1">
      <c r="A146" s="7" t="s">
        <v>191</v>
      </c>
      <c r="B146" s="7" t="s">
        <v>192</v>
      </c>
      <c r="C146" s="7"/>
      <c r="D146" s="8">
        <v>200.0</v>
      </c>
      <c r="E146" s="8">
        <v>200.0</v>
      </c>
      <c r="F146" s="9"/>
      <c r="G146" s="9"/>
      <c r="H146" s="9"/>
      <c r="I146" s="9"/>
      <c r="J146" s="9"/>
      <c r="K146" s="9"/>
      <c r="L146" s="9"/>
      <c r="M146" s="10">
        <f t="shared" si="1"/>
        <v>200</v>
      </c>
      <c r="N146" s="11" t="str">
        <f t="shared" si="2"/>
        <v>惠华报价</v>
      </c>
      <c r="O146" s="9">
        <f t="shared" si="3"/>
        <v>2</v>
      </c>
    </row>
    <row r="147" ht="15.75" customHeight="1">
      <c r="A147" s="12" t="s">
        <v>193</v>
      </c>
      <c r="B147" s="12" t="s">
        <v>194</v>
      </c>
      <c r="C147" s="12"/>
      <c r="D147" s="13"/>
      <c r="E147" s="17">
        <v>340.0</v>
      </c>
      <c r="F147" s="13"/>
      <c r="G147" s="13"/>
      <c r="H147" s="13"/>
      <c r="I147" s="13"/>
      <c r="J147" s="13"/>
      <c r="K147" s="13"/>
      <c r="L147" s="13"/>
      <c r="M147" s="18">
        <f t="shared" si="1"/>
        <v>340</v>
      </c>
      <c r="N147" s="15" t="str">
        <f t="shared" si="2"/>
        <v>沃勒含税</v>
      </c>
      <c r="O147" s="13">
        <f t="shared" si="3"/>
        <v>1</v>
      </c>
    </row>
    <row r="148" ht="15.75" customHeight="1">
      <c r="A148" s="7" t="s">
        <v>195</v>
      </c>
      <c r="B148" s="7" t="s">
        <v>196</v>
      </c>
      <c r="C148" s="7" t="s">
        <v>197</v>
      </c>
      <c r="D148" s="8">
        <v>300.0</v>
      </c>
      <c r="E148" s="8">
        <v>300.0</v>
      </c>
      <c r="F148" s="9"/>
      <c r="G148" s="9"/>
      <c r="H148" s="9"/>
      <c r="I148" s="9"/>
      <c r="J148" s="9"/>
      <c r="K148" s="9"/>
      <c r="L148" s="9"/>
      <c r="M148" s="10">
        <f t="shared" si="1"/>
        <v>300</v>
      </c>
      <c r="N148" s="11" t="str">
        <f t="shared" si="2"/>
        <v>惠华报价</v>
      </c>
      <c r="O148" s="9">
        <f t="shared" si="3"/>
        <v>2</v>
      </c>
    </row>
    <row r="149" ht="15.75" customHeight="1">
      <c r="A149" s="12" t="s">
        <v>198</v>
      </c>
      <c r="B149" s="12" t="s">
        <v>199</v>
      </c>
      <c r="C149" s="12" t="s">
        <v>200</v>
      </c>
      <c r="D149" s="17">
        <v>320.0</v>
      </c>
      <c r="E149" s="13"/>
      <c r="F149" s="13"/>
      <c r="G149" s="13"/>
      <c r="H149" s="13"/>
      <c r="I149" s="13"/>
      <c r="J149" s="13"/>
      <c r="K149" s="13"/>
      <c r="L149" s="13"/>
      <c r="M149" s="18">
        <f t="shared" si="1"/>
        <v>320</v>
      </c>
      <c r="N149" s="15" t="str">
        <f t="shared" si="2"/>
        <v>惠华报价</v>
      </c>
      <c r="O149" s="13">
        <f t="shared" si="3"/>
        <v>1</v>
      </c>
    </row>
    <row r="150" ht="15.75" customHeight="1">
      <c r="A150" s="7"/>
      <c r="B150" s="7"/>
      <c r="C150" s="7"/>
      <c r="D150" s="9"/>
      <c r="E150" s="9"/>
      <c r="F150" s="9"/>
      <c r="G150" s="9"/>
      <c r="H150" s="9"/>
      <c r="I150" s="9"/>
      <c r="J150" s="9"/>
      <c r="K150" s="9"/>
      <c r="L150" s="9"/>
      <c r="M150" s="16">
        <f t="shared" si="1"/>
        <v>0</v>
      </c>
      <c r="N150" s="11" t="str">
        <f t="shared" si="2"/>
        <v/>
      </c>
      <c r="O150" s="9">
        <f t="shared" si="3"/>
        <v>0</v>
      </c>
    </row>
    <row r="151" ht="15.75" customHeight="1">
      <c r="A151" s="12" t="s">
        <v>201</v>
      </c>
      <c r="B151" s="12"/>
      <c r="C151" s="12"/>
      <c r="D151" s="13"/>
      <c r="E151" s="17">
        <v>300.0</v>
      </c>
      <c r="F151" s="13"/>
      <c r="G151" s="13"/>
      <c r="H151" s="13"/>
      <c r="I151" s="13"/>
      <c r="J151" s="13"/>
      <c r="K151" s="13"/>
      <c r="L151" s="13"/>
      <c r="M151" s="18">
        <f t="shared" si="1"/>
        <v>300</v>
      </c>
      <c r="N151" s="15" t="str">
        <f t="shared" si="2"/>
        <v>沃勒含税</v>
      </c>
      <c r="O151" s="13">
        <f t="shared" si="3"/>
        <v>1</v>
      </c>
    </row>
    <row r="152" ht="15.75" customHeight="1">
      <c r="A152" s="7" t="s">
        <v>202</v>
      </c>
      <c r="B152" s="7" t="s">
        <v>203</v>
      </c>
      <c r="C152" s="7"/>
      <c r="D152" s="9"/>
      <c r="E152" s="8">
        <v>350.0</v>
      </c>
      <c r="F152" s="9"/>
      <c r="G152" s="9"/>
      <c r="H152" s="9"/>
      <c r="I152" s="9"/>
      <c r="J152" s="9"/>
      <c r="K152" s="9"/>
      <c r="L152" s="9"/>
      <c r="M152" s="10">
        <f t="shared" si="1"/>
        <v>350</v>
      </c>
      <c r="N152" s="11" t="str">
        <f t="shared" si="2"/>
        <v>沃勒含税</v>
      </c>
      <c r="O152" s="9">
        <f t="shared" si="3"/>
        <v>1</v>
      </c>
    </row>
    <row r="153" ht="15.75" customHeight="1">
      <c r="A153" s="12" t="s">
        <v>204</v>
      </c>
      <c r="B153" s="12" t="s">
        <v>205</v>
      </c>
      <c r="C153" s="12"/>
      <c r="D153" s="13"/>
      <c r="E153" s="17">
        <v>170.0</v>
      </c>
      <c r="F153" s="13"/>
      <c r="G153" s="13"/>
      <c r="H153" s="13"/>
      <c r="I153" s="13"/>
      <c r="J153" s="13"/>
      <c r="K153" s="13"/>
      <c r="L153" s="13"/>
      <c r="M153" s="18">
        <f t="shared" si="1"/>
        <v>170</v>
      </c>
      <c r="N153" s="15" t="str">
        <f t="shared" si="2"/>
        <v>沃勒含税</v>
      </c>
      <c r="O153" s="13">
        <f t="shared" si="3"/>
        <v>1</v>
      </c>
    </row>
    <row r="154" ht="15.75" customHeight="1">
      <c r="A154" s="7" t="s">
        <v>206</v>
      </c>
      <c r="B154" s="7"/>
      <c r="C154" s="7" t="s">
        <v>207</v>
      </c>
      <c r="D154" s="9"/>
      <c r="E154" s="8">
        <v>330.0</v>
      </c>
      <c r="F154" s="9"/>
      <c r="G154" s="9"/>
      <c r="H154" s="9"/>
      <c r="I154" s="9"/>
      <c r="J154" s="9"/>
      <c r="K154" s="9"/>
      <c r="L154" s="9"/>
      <c r="M154" s="10">
        <f t="shared" si="1"/>
        <v>330</v>
      </c>
      <c r="N154" s="11" t="str">
        <f t="shared" si="2"/>
        <v>沃勒含税</v>
      </c>
      <c r="O154" s="9">
        <f t="shared" si="3"/>
        <v>1</v>
      </c>
    </row>
    <row r="155" ht="15.75" customHeight="1">
      <c r="A155" s="12" t="s">
        <v>208</v>
      </c>
      <c r="B155" s="12"/>
      <c r="C155" s="12"/>
      <c r="D155" s="13"/>
      <c r="E155" s="17">
        <v>560.0</v>
      </c>
      <c r="F155" s="13"/>
      <c r="G155" s="13"/>
      <c r="H155" s="13"/>
      <c r="I155" s="13"/>
      <c r="J155" s="13"/>
      <c r="K155" s="13"/>
      <c r="L155" s="13"/>
      <c r="M155" s="18">
        <f t="shared" si="1"/>
        <v>560</v>
      </c>
      <c r="N155" s="15" t="str">
        <f t="shared" si="2"/>
        <v>沃勒含税</v>
      </c>
      <c r="O155" s="13">
        <f t="shared" si="3"/>
        <v>1</v>
      </c>
    </row>
    <row r="156" ht="15.75" customHeight="1">
      <c r="A156" s="7" t="s">
        <v>209</v>
      </c>
      <c r="B156" s="7"/>
      <c r="C156" s="7"/>
      <c r="D156" s="8">
        <v>195.0</v>
      </c>
      <c r="E156" s="9"/>
      <c r="F156" s="9"/>
      <c r="G156" s="8">
        <v>175.0</v>
      </c>
      <c r="H156" s="9"/>
      <c r="I156" s="9"/>
      <c r="J156" s="9"/>
      <c r="K156" s="9"/>
      <c r="L156" s="9"/>
      <c r="M156" s="10">
        <f t="shared" si="1"/>
        <v>175</v>
      </c>
      <c r="N156" s="11" t="str">
        <f t="shared" si="2"/>
        <v>神航含税</v>
      </c>
      <c r="O156" s="9">
        <f t="shared" si="3"/>
        <v>2</v>
      </c>
    </row>
    <row r="157" ht="15.75" customHeight="1">
      <c r="A157" s="12" t="s">
        <v>210</v>
      </c>
      <c r="B157" s="12"/>
      <c r="C157" s="12"/>
      <c r="D157" s="17">
        <v>188.0</v>
      </c>
      <c r="E157" s="13"/>
      <c r="F157" s="13"/>
      <c r="G157" s="17">
        <v>175.0</v>
      </c>
      <c r="H157" s="13"/>
      <c r="I157" s="13"/>
      <c r="J157" s="13"/>
      <c r="K157" s="13"/>
      <c r="L157" s="13"/>
      <c r="M157" s="18">
        <f t="shared" si="1"/>
        <v>175</v>
      </c>
      <c r="N157" s="15" t="str">
        <f t="shared" si="2"/>
        <v>神航含税</v>
      </c>
      <c r="O157" s="13">
        <f t="shared" si="3"/>
        <v>2</v>
      </c>
    </row>
    <row r="158" ht="15.75" customHeight="1">
      <c r="A158" s="7" t="s">
        <v>211</v>
      </c>
      <c r="B158" s="7"/>
      <c r="C158" s="7"/>
      <c r="D158" s="8">
        <v>195.0</v>
      </c>
      <c r="E158" s="8">
        <v>175.0</v>
      </c>
      <c r="F158" s="9"/>
      <c r="G158" s="8">
        <v>175.0</v>
      </c>
      <c r="H158" s="9"/>
      <c r="I158" s="9"/>
      <c r="J158" s="9"/>
      <c r="K158" s="9"/>
      <c r="L158" s="9"/>
      <c r="M158" s="10">
        <f t="shared" si="1"/>
        <v>175</v>
      </c>
      <c r="N158" s="11" t="str">
        <f t="shared" si="2"/>
        <v>沃勒含税</v>
      </c>
      <c r="O158" s="9">
        <f t="shared" si="3"/>
        <v>3</v>
      </c>
    </row>
    <row r="159" ht="15.75" customHeight="1">
      <c r="A159" s="12" t="s">
        <v>212</v>
      </c>
      <c r="B159" s="12"/>
      <c r="C159" s="12"/>
      <c r="D159" s="17">
        <v>215.0</v>
      </c>
      <c r="E159" s="17">
        <v>215.0</v>
      </c>
      <c r="F159" s="13"/>
      <c r="G159" s="17">
        <v>215.0</v>
      </c>
      <c r="H159" s="13"/>
      <c r="I159" s="13"/>
      <c r="J159" s="13"/>
      <c r="K159" s="13"/>
      <c r="L159" s="13"/>
      <c r="M159" s="18">
        <f t="shared" si="1"/>
        <v>215</v>
      </c>
      <c r="N159" s="15" t="str">
        <f t="shared" si="2"/>
        <v>惠华报价</v>
      </c>
      <c r="O159" s="13">
        <f t="shared" si="3"/>
        <v>3</v>
      </c>
    </row>
    <row r="160" ht="15.75" customHeight="1">
      <c r="A160" s="7" t="s">
        <v>117</v>
      </c>
      <c r="B160" s="7"/>
      <c r="C160" s="7"/>
      <c r="D160" s="8">
        <v>62.0</v>
      </c>
      <c r="E160" s="8">
        <v>70.0</v>
      </c>
      <c r="F160" s="9"/>
      <c r="G160" s="8">
        <v>75.0</v>
      </c>
      <c r="H160" s="9"/>
      <c r="I160" s="9"/>
      <c r="J160" s="9"/>
      <c r="K160" s="9"/>
      <c r="L160" s="9"/>
      <c r="M160" s="10">
        <f t="shared" si="1"/>
        <v>62</v>
      </c>
      <c r="N160" s="11" t="str">
        <f t="shared" si="2"/>
        <v>惠华报价</v>
      </c>
      <c r="O160" s="9">
        <f t="shared" si="3"/>
        <v>3</v>
      </c>
    </row>
    <row r="161" ht="15.75" customHeight="1">
      <c r="A161" s="12" t="s">
        <v>141</v>
      </c>
      <c r="B161" s="12"/>
      <c r="C161" s="12"/>
      <c r="D161" s="13"/>
      <c r="E161" s="13"/>
      <c r="F161" s="13"/>
      <c r="G161" s="17">
        <v>50.0</v>
      </c>
      <c r="H161" s="13"/>
      <c r="I161" s="13"/>
      <c r="J161" s="13"/>
      <c r="K161" s="17">
        <v>47.5</v>
      </c>
      <c r="L161" s="13"/>
      <c r="M161" s="18">
        <f t="shared" si="1"/>
        <v>47.5</v>
      </c>
      <c r="N161" s="15" t="str">
        <f t="shared" si="2"/>
        <v>缤元(含税换算)</v>
      </c>
      <c r="O161" s="13">
        <f t="shared" si="3"/>
        <v>2</v>
      </c>
    </row>
    <row r="162" ht="15.75" customHeight="1">
      <c r="A162" s="7" t="s">
        <v>33</v>
      </c>
      <c r="B162" s="7"/>
      <c r="C162" s="7"/>
      <c r="D162" s="8">
        <v>200.0</v>
      </c>
      <c r="E162" s="8">
        <v>215.0</v>
      </c>
      <c r="F162" s="9"/>
      <c r="G162" s="8">
        <v>215.0</v>
      </c>
      <c r="H162" s="9"/>
      <c r="I162" s="9"/>
      <c r="J162" s="9"/>
      <c r="K162" s="8">
        <v>203.4</v>
      </c>
      <c r="L162" s="9"/>
      <c r="M162" s="10">
        <f t="shared" si="1"/>
        <v>200</v>
      </c>
      <c r="N162" s="11" t="str">
        <f t="shared" si="2"/>
        <v>惠华报价</v>
      </c>
      <c r="O162" s="9">
        <f t="shared" si="3"/>
        <v>4</v>
      </c>
    </row>
    <row r="163" ht="15.75" customHeight="1">
      <c r="A163" s="12" t="s">
        <v>213</v>
      </c>
      <c r="B163" s="12"/>
      <c r="C163" s="12"/>
      <c r="D163" s="17">
        <v>170.0</v>
      </c>
      <c r="E163" s="17">
        <v>160.0</v>
      </c>
      <c r="F163" s="13"/>
      <c r="G163" s="17">
        <v>165.0</v>
      </c>
      <c r="H163" s="13"/>
      <c r="I163" s="13"/>
      <c r="J163" s="13"/>
      <c r="K163" s="17">
        <v>158.2</v>
      </c>
      <c r="L163" s="13"/>
      <c r="M163" s="18">
        <f t="shared" si="1"/>
        <v>158.2</v>
      </c>
      <c r="N163" s="15" t="str">
        <f t="shared" si="2"/>
        <v>缤元(含税换算)</v>
      </c>
      <c r="O163" s="13">
        <f t="shared" si="3"/>
        <v>4</v>
      </c>
    </row>
    <row r="164" ht="15.75" customHeight="1">
      <c r="A164" s="7" t="s">
        <v>214</v>
      </c>
      <c r="B164" s="7"/>
      <c r="C164" s="7"/>
      <c r="D164" s="8">
        <v>180.0</v>
      </c>
      <c r="E164" s="8">
        <v>170.0</v>
      </c>
      <c r="F164" s="9"/>
      <c r="G164" s="8">
        <v>165.0</v>
      </c>
      <c r="H164" s="9"/>
      <c r="I164" s="9"/>
      <c r="J164" s="9"/>
      <c r="K164" s="8">
        <v>158.2</v>
      </c>
      <c r="L164" s="9"/>
      <c r="M164" s="10">
        <f t="shared" si="1"/>
        <v>158.2</v>
      </c>
      <c r="N164" s="11" t="str">
        <f t="shared" si="2"/>
        <v>缤元(含税换算)</v>
      </c>
      <c r="O164" s="9">
        <f t="shared" si="3"/>
        <v>4</v>
      </c>
    </row>
    <row r="165" ht="15.75" customHeight="1">
      <c r="A165" s="12" t="s">
        <v>215</v>
      </c>
      <c r="B165" s="12"/>
      <c r="C165" s="12"/>
      <c r="D165" s="17">
        <v>75.0</v>
      </c>
      <c r="E165" s="13"/>
      <c r="F165" s="17">
        <v>73.0</v>
      </c>
      <c r="G165" s="13"/>
      <c r="H165" s="13"/>
      <c r="I165" s="13"/>
      <c r="J165" s="13"/>
      <c r="K165" s="13"/>
      <c r="L165" s="13"/>
      <c r="M165" s="18">
        <f t="shared" si="1"/>
        <v>73</v>
      </c>
      <c r="N165" s="15" t="str">
        <f t="shared" si="2"/>
        <v>玉旋含税</v>
      </c>
      <c r="O165" s="13">
        <f t="shared" si="3"/>
        <v>2</v>
      </c>
    </row>
    <row r="166" ht="15.75" customHeight="1">
      <c r="A166" s="7" t="s">
        <v>216</v>
      </c>
      <c r="B166" s="7"/>
      <c r="C166" s="7"/>
      <c r="D166" s="8">
        <v>69.0</v>
      </c>
      <c r="E166" s="9"/>
      <c r="F166" s="8">
        <v>66.0</v>
      </c>
      <c r="G166" s="9"/>
      <c r="H166" s="9"/>
      <c r="I166" s="9"/>
      <c r="J166" s="9"/>
      <c r="K166" s="9"/>
      <c r="L166" s="9"/>
      <c r="M166" s="10">
        <f t="shared" si="1"/>
        <v>66</v>
      </c>
      <c r="N166" s="11" t="str">
        <f t="shared" si="2"/>
        <v>玉旋含税</v>
      </c>
      <c r="O166" s="9">
        <f t="shared" si="3"/>
        <v>2</v>
      </c>
    </row>
    <row r="167" ht="15.75" customHeight="1">
      <c r="A167" s="12" t="s">
        <v>193</v>
      </c>
      <c r="B167" s="12"/>
      <c r="C167" s="12"/>
      <c r="D167" s="13"/>
      <c r="E167" s="17">
        <v>350.0</v>
      </c>
      <c r="F167" s="13"/>
      <c r="G167" s="17">
        <v>330.0</v>
      </c>
      <c r="H167" s="13"/>
      <c r="I167" s="13"/>
      <c r="J167" s="13"/>
      <c r="K167" s="17">
        <v>350.3</v>
      </c>
      <c r="L167" s="13"/>
      <c r="M167" s="18">
        <f t="shared" si="1"/>
        <v>330</v>
      </c>
      <c r="N167" s="15" t="str">
        <f t="shared" si="2"/>
        <v>神航含税</v>
      </c>
      <c r="O167" s="13">
        <f t="shared" si="3"/>
        <v>3</v>
      </c>
    </row>
    <row r="168" ht="15.75" customHeight="1">
      <c r="A168" s="7" t="s">
        <v>217</v>
      </c>
      <c r="B168" s="7" t="s">
        <v>218</v>
      </c>
      <c r="C168" s="7"/>
      <c r="D168" s="9"/>
      <c r="E168" s="9"/>
      <c r="F168" s="9"/>
      <c r="G168" s="9"/>
      <c r="H168" s="9"/>
      <c r="I168" s="9"/>
      <c r="J168" s="9"/>
      <c r="K168" s="9"/>
      <c r="L168" s="9"/>
      <c r="M168" s="16">
        <f t="shared" si="1"/>
        <v>0</v>
      </c>
      <c r="N168" s="11" t="str">
        <f t="shared" si="2"/>
        <v/>
      </c>
      <c r="O168" s="9">
        <f t="shared" si="3"/>
        <v>0</v>
      </c>
    </row>
    <row r="169" ht="15.75" customHeight="1">
      <c r="A169" s="12" t="s">
        <v>219</v>
      </c>
      <c r="B169" s="12" t="s">
        <v>220</v>
      </c>
      <c r="C169" s="12"/>
      <c r="D169" s="13"/>
      <c r="E169" s="17">
        <v>195.0</v>
      </c>
      <c r="F169" s="13"/>
      <c r="G169" s="13"/>
      <c r="H169" s="13"/>
      <c r="I169" s="13"/>
      <c r="J169" s="13"/>
      <c r="K169" s="13"/>
      <c r="L169" s="13"/>
      <c r="M169" s="18">
        <f t="shared" si="1"/>
        <v>195</v>
      </c>
      <c r="N169" s="15" t="str">
        <f t="shared" si="2"/>
        <v>沃勒含税</v>
      </c>
      <c r="O169" s="13">
        <f t="shared" si="3"/>
        <v>1</v>
      </c>
    </row>
    <row r="170" ht="15.75" customHeight="1">
      <c r="A170" s="7" t="s">
        <v>221</v>
      </c>
      <c r="B170" s="7"/>
      <c r="C170" s="7"/>
      <c r="D170" s="9"/>
      <c r="E170" s="8">
        <v>159.0</v>
      </c>
      <c r="F170" s="9"/>
      <c r="G170" s="9"/>
      <c r="H170" s="9"/>
      <c r="I170" s="9"/>
      <c r="J170" s="9"/>
      <c r="K170" s="9"/>
      <c r="L170" s="9"/>
      <c r="M170" s="10">
        <f t="shared" si="1"/>
        <v>159</v>
      </c>
      <c r="N170" s="11" t="str">
        <f t="shared" si="2"/>
        <v>沃勒含税</v>
      </c>
      <c r="O170" s="9">
        <f t="shared" si="3"/>
        <v>1</v>
      </c>
    </row>
    <row r="171" ht="15.75" customHeight="1">
      <c r="A171" s="12" t="s">
        <v>222</v>
      </c>
      <c r="B171" s="12"/>
      <c r="C171" s="12"/>
      <c r="D171" s="13"/>
      <c r="E171" s="17">
        <v>95.0</v>
      </c>
      <c r="F171" s="13"/>
      <c r="G171" s="13"/>
      <c r="H171" s="13"/>
      <c r="I171" s="13"/>
      <c r="J171" s="13"/>
      <c r="K171" s="13"/>
      <c r="L171" s="13"/>
      <c r="M171" s="18">
        <f t="shared" si="1"/>
        <v>95</v>
      </c>
      <c r="N171" s="15" t="str">
        <f t="shared" si="2"/>
        <v>沃勒含税</v>
      </c>
      <c r="O171" s="13">
        <f t="shared" si="3"/>
        <v>1</v>
      </c>
    </row>
    <row r="172" ht="15.75" customHeight="1">
      <c r="A172" s="7" t="s">
        <v>223</v>
      </c>
      <c r="B172" s="7" t="s">
        <v>224</v>
      </c>
      <c r="C172" s="7"/>
      <c r="D172" s="9"/>
      <c r="E172" s="9"/>
      <c r="F172" s="9"/>
      <c r="G172" s="9"/>
      <c r="H172" s="9"/>
      <c r="I172" s="9"/>
      <c r="J172" s="9"/>
      <c r="K172" s="8">
        <v>85.9</v>
      </c>
      <c r="L172" s="9"/>
      <c r="M172" s="10">
        <f t="shared" si="1"/>
        <v>85.9</v>
      </c>
      <c r="N172" s="11" t="str">
        <f t="shared" si="2"/>
        <v>缤元(含税换算)</v>
      </c>
      <c r="O172" s="9">
        <f t="shared" si="3"/>
        <v>1</v>
      </c>
    </row>
    <row r="173" ht="15.75" customHeight="1">
      <c r="A173" s="12">
        <v>9.44287983E8</v>
      </c>
      <c r="B173" s="12" t="s">
        <v>225</v>
      </c>
      <c r="C173" s="12"/>
      <c r="D173" s="13"/>
      <c r="E173" s="13"/>
      <c r="F173" s="13"/>
      <c r="G173" s="13"/>
      <c r="H173" s="13"/>
      <c r="I173" s="13"/>
      <c r="J173" s="13"/>
      <c r="K173" s="13"/>
      <c r="L173" s="13"/>
      <c r="M173" s="14">
        <f t="shared" si="1"/>
        <v>0</v>
      </c>
      <c r="N173" s="15" t="str">
        <f t="shared" si="2"/>
        <v/>
      </c>
      <c r="O173" s="13">
        <f t="shared" si="3"/>
        <v>0</v>
      </c>
    </row>
    <row r="174" ht="15.75" customHeight="1">
      <c r="A174" s="7" t="s">
        <v>226</v>
      </c>
      <c r="B174" s="7" t="s">
        <v>227</v>
      </c>
      <c r="C174" s="7"/>
      <c r="D174" s="9"/>
      <c r="E174" s="9"/>
      <c r="F174" s="9"/>
      <c r="G174" s="9"/>
      <c r="H174" s="9"/>
      <c r="I174" s="9"/>
      <c r="J174" s="9"/>
      <c r="K174" s="8">
        <v>186.4</v>
      </c>
      <c r="L174" s="9"/>
      <c r="M174" s="10">
        <f t="shared" si="1"/>
        <v>186.4</v>
      </c>
      <c r="N174" s="11" t="str">
        <f t="shared" si="2"/>
        <v>缤元(含税换算)</v>
      </c>
      <c r="O174" s="9">
        <f t="shared" si="3"/>
        <v>1</v>
      </c>
    </row>
    <row r="175" ht="15.75" customHeight="1">
      <c r="A175" s="12" t="s">
        <v>228</v>
      </c>
      <c r="B175" s="12" t="s">
        <v>189</v>
      </c>
      <c r="C175" s="12"/>
      <c r="D175" s="13"/>
      <c r="E175" s="13"/>
      <c r="F175" s="13"/>
      <c r="G175" s="13"/>
      <c r="H175" s="13"/>
      <c r="I175" s="13"/>
      <c r="J175" s="13"/>
      <c r="K175" s="17">
        <v>118.6</v>
      </c>
      <c r="L175" s="13"/>
      <c r="M175" s="18">
        <f t="shared" si="1"/>
        <v>118.6</v>
      </c>
      <c r="N175" s="15" t="str">
        <f t="shared" si="2"/>
        <v>缤元(含税换算)</v>
      </c>
      <c r="O175" s="13">
        <f t="shared" si="3"/>
        <v>1</v>
      </c>
    </row>
    <row r="176" ht="15.75" customHeight="1">
      <c r="A176" s="7" t="s">
        <v>191</v>
      </c>
      <c r="B176" s="7" t="s">
        <v>192</v>
      </c>
      <c r="C176" s="7"/>
      <c r="D176" s="9"/>
      <c r="E176" s="9"/>
      <c r="F176" s="9"/>
      <c r="G176" s="9"/>
      <c r="H176" s="9"/>
      <c r="I176" s="9"/>
      <c r="J176" s="9"/>
      <c r="K176" s="9"/>
      <c r="L176" s="9"/>
      <c r="M176" s="16">
        <f t="shared" si="1"/>
        <v>0</v>
      </c>
      <c r="N176" s="11" t="str">
        <f t="shared" si="2"/>
        <v/>
      </c>
      <c r="O176" s="9">
        <f t="shared" si="3"/>
        <v>0</v>
      </c>
    </row>
    <row r="177" ht="15.75" customHeight="1">
      <c r="A177" s="12" t="s">
        <v>229</v>
      </c>
      <c r="B177" s="12" t="s">
        <v>154</v>
      </c>
      <c r="C177" s="12"/>
      <c r="D177" s="13"/>
      <c r="E177" s="13"/>
      <c r="F177" s="13"/>
      <c r="G177" s="13"/>
      <c r="H177" s="13"/>
      <c r="I177" s="13"/>
      <c r="J177" s="13"/>
      <c r="K177" s="13"/>
      <c r="L177" s="13"/>
      <c r="M177" s="14">
        <f t="shared" si="1"/>
        <v>0</v>
      </c>
      <c r="N177" s="15" t="str">
        <f t="shared" si="2"/>
        <v/>
      </c>
      <c r="O177" s="13">
        <f t="shared" si="3"/>
        <v>0</v>
      </c>
    </row>
    <row r="178" ht="15.75" customHeight="1">
      <c r="A178" s="7" t="s">
        <v>230</v>
      </c>
      <c r="B178" s="7" t="s">
        <v>182</v>
      </c>
      <c r="C178" s="7"/>
      <c r="D178" s="9"/>
      <c r="E178" s="9"/>
      <c r="F178" s="9"/>
      <c r="G178" s="9"/>
      <c r="H178" s="9"/>
      <c r="I178" s="9"/>
      <c r="J178" s="9"/>
      <c r="K178" s="8">
        <v>271.2</v>
      </c>
      <c r="L178" s="9"/>
      <c r="M178" s="10">
        <f t="shared" si="1"/>
        <v>271.2</v>
      </c>
      <c r="N178" s="11" t="str">
        <f t="shared" si="2"/>
        <v>缤元(含税换算)</v>
      </c>
      <c r="O178" s="9">
        <f t="shared" si="3"/>
        <v>1</v>
      </c>
    </row>
    <row r="179" ht="15.75" customHeight="1">
      <c r="A179" s="12" t="s">
        <v>231</v>
      </c>
      <c r="B179" s="12" t="s">
        <v>232</v>
      </c>
      <c r="C179" s="12"/>
      <c r="D179" s="13"/>
      <c r="E179" s="13"/>
      <c r="F179" s="13"/>
      <c r="G179" s="13"/>
      <c r="H179" s="13"/>
      <c r="I179" s="13"/>
      <c r="J179" s="13"/>
      <c r="K179" s="17">
        <v>169.5</v>
      </c>
      <c r="L179" s="13"/>
      <c r="M179" s="18">
        <f t="shared" si="1"/>
        <v>169.5</v>
      </c>
      <c r="N179" s="15" t="str">
        <f t="shared" si="2"/>
        <v>缤元(含税换算)</v>
      </c>
      <c r="O179" s="13">
        <f t="shared" si="3"/>
        <v>1</v>
      </c>
    </row>
    <row r="180" ht="15.75" customHeight="1">
      <c r="A180" s="7" t="s">
        <v>233</v>
      </c>
      <c r="B180" s="7" t="s">
        <v>234</v>
      </c>
      <c r="C180" s="7"/>
      <c r="D180" s="9"/>
      <c r="E180" s="9"/>
      <c r="F180" s="9"/>
      <c r="G180" s="9"/>
      <c r="H180" s="9"/>
      <c r="I180" s="9"/>
      <c r="J180" s="9"/>
      <c r="K180" s="8">
        <v>960.5</v>
      </c>
      <c r="L180" s="9"/>
      <c r="M180" s="10">
        <f t="shared" si="1"/>
        <v>960.5</v>
      </c>
      <c r="N180" s="11" t="str">
        <f t="shared" si="2"/>
        <v>缤元(含税换算)</v>
      </c>
      <c r="O180" s="9">
        <f t="shared" si="3"/>
        <v>1</v>
      </c>
    </row>
    <row r="181" ht="15.75" customHeight="1">
      <c r="A181" s="12" t="s">
        <v>235</v>
      </c>
      <c r="B181" s="12" t="s">
        <v>236</v>
      </c>
      <c r="C181" s="12"/>
      <c r="D181" s="13"/>
      <c r="E181" s="13"/>
      <c r="F181" s="13"/>
      <c r="G181" s="13"/>
      <c r="H181" s="13"/>
      <c r="I181" s="13"/>
      <c r="J181" s="13"/>
      <c r="K181" s="13"/>
      <c r="L181" s="13"/>
      <c r="M181" s="14">
        <f t="shared" si="1"/>
        <v>0</v>
      </c>
      <c r="N181" s="15" t="str">
        <f t="shared" si="2"/>
        <v/>
      </c>
      <c r="O181" s="13">
        <f t="shared" si="3"/>
        <v>0</v>
      </c>
    </row>
    <row r="182" ht="15.75" customHeight="1">
      <c r="A182" s="7" t="s">
        <v>237</v>
      </c>
      <c r="B182" s="7" t="s">
        <v>238</v>
      </c>
      <c r="C182" s="7"/>
      <c r="D182" s="9"/>
      <c r="E182" s="9"/>
      <c r="F182" s="9"/>
      <c r="G182" s="9"/>
      <c r="H182" s="9"/>
      <c r="I182" s="9"/>
      <c r="J182" s="9"/>
      <c r="K182" s="8">
        <v>124.3</v>
      </c>
      <c r="L182" s="9"/>
      <c r="M182" s="10">
        <f t="shared" si="1"/>
        <v>124.3</v>
      </c>
      <c r="N182" s="11" t="str">
        <f t="shared" si="2"/>
        <v>缤元(含税换算)</v>
      </c>
      <c r="O182" s="9">
        <f t="shared" si="3"/>
        <v>1</v>
      </c>
    </row>
    <row r="183" ht="15.75" customHeight="1">
      <c r="A183" s="12" t="s">
        <v>239</v>
      </c>
      <c r="B183" s="12" t="s">
        <v>240</v>
      </c>
      <c r="C183" s="12"/>
      <c r="D183" s="13"/>
      <c r="E183" s="13"/>
      <c r="F183" s="13"/>
      <c r="G183" s="13"/>
      <c r="H183" s="13"/>
      <c r="I183" s="13"/>
      <c r="J183" s="13"/>
      <c r="K183" s="17">
        <v>124.3</v>
      </c>
      <c r="L183" s="13"/>
      <c r="M183" s="18">
        <f t="shared" si="1"/>
        <v>124.3</v>
      </c>
      <c r="N183" s="15" t="str">
        <f t="shared" si="2"/>
        <v>缤元(含税换算)</v>
      </c>
      <c r="O183" s="13">
        <f t="shared" si="3"/>
        <v>1</v>
      </c>
    </row>
    <row r="184" ht="15.75" customHeight="1">
      <c r="A184" s="7" t="s">
        <v>241</v>
      </c>
      <c r="B184" s="7" t="s">
        <v>242</v>
      </c>
      <c r="C184" s="7"/>
      <c r="D184" s="9"/>
      <c r="E184" s="9"/>
      <c r="F184" s="9"/>
      <c r="G184" s="9"/>
      <c r="H184" s="9"/>
      <c r="I184" s="9"/>
      <c r="J184" s="9"/>
      <c r="K184" s="9"/>
      <c r="L184" s="9"/>
      <c r="M184" s="16">
        <f t="shared" si="1"/>
        <v>0</v>
      </c>
      <c r="N184" s="11" t="str">
        <f t="shared" si="2"/>
        <v/>
      </c>
      <c r="O184" s="9">
        <f t="shared" si="3"/>
        <v>0</v>
      </c>
    </row>
    <row r="185" ht="15.75" customHeight="1">
      <c r="A185" s="12" t="s">
        <v>243</v>
      </c>
      <c r="B185" s="12" t="s">
        <v>244</v>
      </c>
      <c r="C185" s="12"/>
      <c r="D185" s="13"/>
      <c r="E185" s="13"/>
      <c r="F185" s="13"/>
      <c r="G185" s="13"/>
      <c r="H185" s="13"/>
      <c r="I185" s="13"/>
      <c r="J185" s="13"/>
      <c r="K185" s="13"/>
      <c r="L185" s="13"/>
      <c r="M185" s="14">
        <f t="shared" si="1"/>
        <v>0</v>
      </c>
      <c r="N185" s="15" t="str">
        <f t="shared" si="2"/>
        <v/>
      </c>
      <c r="O185" s="13">
        <f t="shared" si="3"/>
        <v>0</v>
      </c>
    </row>
    <row r="186" ht="15.75" customHeight="1">
      <c r="A186" s="7" t="s">
        <v>245</v>
      </c>
      <c r="B186" s="7" t="s">
        <v>246</v>
      </c>
      <c r="C186" s="7"/>
      <c r="D186" s="9"/>
      <c r="E186" s="9"/>
      <c r="F186" s="9"/>
      <c r="G186" s="9"/>
      <c r="H186" s="9"/>
      <c r="I186" s="9"/>
      <c r="J186" s="9"/>
      <c r="K186" s="9"/>
      <c r="L186" s="9"/>
      <c r="M186" s="16">
        <f t="shared" si="1"/>
        <v>0</v>
      </c>
      <c r="N186" s="11" t="str">
        <f t="shared" si="2"/>
        <v/>
      </c>
      <c r="O186" s="9">
        <f t="shared" si="3"/>
        <v>0</v>
      </c>
    </row>
    <row r="187" ht="15.75" customHeight="1">
      <c r="A187" s="12" t="s">
        <v>247</v>
      </c>
      <c r="B187" s="12" t="s">
        <v>248</v>
      </c>
      <c r="C187" s="12"/>
      <c r="D187" s="13"/>
      <c r="E187" s="13"/>
      <c r="F187" s="13"/>
      <c r="G187" s="13"/>
      <c r="H187" s="13"/>
      <c r="I187" s="13"/>
      <c r="J187" s="13"/>
      <c r="K187" s="13"/>
      <c r="L187" s="13"/>
      <c r="M187" s="14">
        <f t="shared" si="1"/>
        <v>0</v>
      </c>
      <c r="N187" s="15" t="str">
        <f t="shared" si="2"/>
        <v/>
      </c>
      <c r="O187" s="13">
        <f t="shared" si="3"/>
        <v>0</v>
      </c>
    </row>
    <row r="188" ht="15.75" customHeight="1">
      <c r="A188" s="7" t="s">
        <v>249</v>
      </c>
      <c r="B188" s="7" t="s">
        <v>250</v>
      </c>
      <c r="C188" s="7"/>
      <c r="D188" s="9"/>
      <c r="E188" s="9"/>
      <c r="F188" s="9"/>
      <c r="G188" s="9"/>
      <c r="H188" s="9"/>
      <c r="I188" s="9"/>
      <c r="J188" s="9"/>
      <c r="K188" s="9"/>
      <c r="L188" s="9"/>
      <c r="M188" s="16">
        <f t="shared" si="1"/>
        <v>0</v>
      </c>
      <c r="N188" s="11" t="str">
        <f t="shared" si="2"/>
        <v/>
      </c>
      <c r="O188" s="9">
        <f t="shared" si="3"/>
        <v>0</v>
      </c>
    </row>
    <row r="189" ht="15.75" customHeight="1">
      <c r="A189" s="12" t="s">
        <v>251</v>
      </c>
      <c r="B189" s="12" t="s">
        <v>252</v>
      </c>
      <c r="C189" s="12"/>
      <c r="D189" s="13"/>
      <c r="E189" s="13"/>
      <c r="F189" s="13"/>
      <c r="G189" s="13"/>
      <c r="H189" s="13"/>
      <c r="I189" s="13"/>
      <c r="J189" s="13"/>
      <c r="K189" s="13"/>
      <c r="L189" s="13"/>
      <c r="M189" s="14">
        <f t="shared" si="1"/>
        <v>0</v>
      </c>
      <c r="N189" s="15" t="str">
        <f t="shared" si="2"/>
        <v/>
      </c>
      <c r="O189" s="13">
        <f t="shared" si="3"/>
        <v>0</v>
      </c>
    </row>
    <row r="190" ht="15.75" customHeight="1">
      <c r="A190" s="7" t="s">
        <v>253</v>
      </c>
      <c r="B190" s="7" t="s">
        <v>254</v>
      </c>
      <c r="C190" s="7"/>
      <c r="D190" s="9"/>
      <c r="E190" s="9"/>
      <c r="F190" s="9"/>
      <c r="G190" s="9"/>
      <c r="H190" s="9"/>
      <c r="I190" s="9"/>
      <c r="J190" s="9"/>
      <c r="K190" s="9"/>
      <c r="L190" s="9"/>
      <c r="M190" s="16">
        <f t="shared" si="1"/>
        <v>0</v>
      </c>
      <c r="N190" s="11" t="str">
        <f t="shared" si="2"/>
        <v/>
      </c>
      <c r="O190" s="9">
        <f t="shared" si="3"/>
        <v>0</v>
      </c>
    </row>
    <row r="191" ht="15.75" customHeight="1">
      <c r="A191" s="12" t="s">
        <v>255</v>
      </c>
      <c r="B191" s="12"/>
      <c r="C191" s="12"/>
      <c r="D191" s="13"/>
      <c r="E191" s="17">
        <v>145.0</v>
      </c>
      <c r="F191" s="13"/>
      <c r="G191" s="13"/>
      <c r="H191" s="13"/>
      <c r="I191" s="13"/>
      <c r="J191" s="13"/>
      <c r="K191" s="13"/>
      <c r="L191" s="13"/>
      <c r="M191" s="18">
        <f t="shared" si="1"/>
        <v>145</v>
      </c>
      <c r="N191" s="15" t="str">
        <f t="shared" si="2"/>
        <v>沃勒含税</v>
      </c>
      <c r="O191" s="13">
        <f t="shared" si="3"/>
        <v>1</v>
      </c>
    </row>
    <row r="192" ht="15.75" customHeight="1">
      <c r="A192" s="7" t="s">
        <v>256</v>
      </c>
      <c r="B192" s="7"/>
      <c r="C192" s="7"/>
      <c r="D192" s="9"/>
      <c r="E192" s="8">
        <v>860.0</v>
      </c>
      <c r="F192" s="9"/>
      <c r="G192" s="9"/>
      <c r="H192" s="9"/>
      <c r="I192" s="9"/>
      <c r="J192" s="9"/>
      <c r="K192" s="9"/>
      <c r="L192" s="9"/>
      <c r="M192" s="10">
        <f t="shared" si="1"/>
        <v>860</v>
      </c>
      <c r="N192" s="11" t="str">
        <f t="shared" si="2"/>
        <v>沃勒含税</v>
      </c>
      <c r="O192" s="9">
        <f t="shared" si="3"/>
        <v>1</v>
      </c>
    </row>
    <row r="193" ht="15.75" customHeight="1">
      <c r="A193" s="12" t="s">
        <v>257</v>
      </c>
      <c r="B193" s="12"/>
      <c r="C193" s="12"/>
      <c r="D193" s="13"/>
      <c r="E193" s="17">
        <v>630.0</v>
      </c>
      <c r="F193" s="13"/>
      <c r="G193" s="13"/>
      <c r="H193" s="13"/>
      <c r="I193" s="13"/>
      <c r="J193" s="13"/>
      <c r="K193" s="13"/>
      <c r="L193" s="13"/>
      <c r="M193" s="18">
        <f t="shared" si="1"/>
        <v>630</v>
      </c>
      <c r="N193" s="15" t="str">
        <f t="shared" si="2"/>
        <v>沃勒含税</v>
      </c>
      <c r="O193" s="13">
        <f t="shared" si="3"/>
        <v>1</v>
      </c>
    </row>
    <row r="194" ht="15.75" customHeight="1">
      <c r="A194" s="21" t="s">
        <v>258</v>
      </c>
      <c r="B194" s="21"/>
      <c r="C194" s="21"/>
      <c r="D194" s="22">
        <v>45.0</v>
      </c>
      <c r="E194" s="22"/>
      <c r="F194" s="22"/>
      <c r="G194" s="22"/>
      <c r="H194" s="22"/>
      <c r="I194" s="22"/>
      <c r="J194" s="22"/>
      <c r="K194" s="22"/>
      <c r="L194" s="22"/>
      <c r="M194" s="23">
        <f t="shared" si="1"/>
        <v>45</v>
      </c>
      <c r="N194" s="24" t="str">
        <f t="shared" si="2"/>
        <v>惠华报价</v>
      </c>
      <c r="O194" s="22">
        <f t="shared" si="3"/>
        <v>1</v>
      </c>
    </row>
    <row r="195" ht="15.75" customHeight="1">
      <c r="A195" s="25" t="s">
        <v>259</v>
      </c>
      <c r="B195" s="25"/>
      <c r="C195" s="25"/>
      <c r="D195" s="26">
        <v>135.0</v>
      </c>
      <c r="E195" s="26"/>
      <c r="F195" s="26"/>
      <c r="G195" s="26"/>
      <c r="H195" s="26"/>
      <c r="I195" s="26"/>
      <c r="J195" s="26"/>
      <c r="K195" s="26"/>
      <c r="L195" s="26"/>
      <c r="M195" s="27">
        <f t="shared" si="1"/>
        <v>135</v>
      </c>
      <c r="N195" s="28" t="str">
        <f t="shared" si="2"/>
        <v>惠华报价</v>
      </c>
      <c r="O195" s="26">
        <f t="shared" si="3"/>
        <v>1</v>
      </c>
    </row>
    <row r="196" ht="15.75" customHeight="1">
      <c r="A196" s="21" t="s">
        <v>260</v>
      </c>
      <c r="B196" s="21"/>
      <c r="C196" s="21"/>
      <c r="D196" s="22">
        <v>205.0</v>
      </c>
      <c r="E196" s="22">
        <v>200.0</v>
      </c>
      <c r="F196" s="22"/>
      <c r="G196" s="22"/>
      <c r="H196" s="22"/>
      <c r="I196" s="22"/>
      <c r="J196" s="22"/>
      <c r="K196" s="22"/>
      <c r="L196" s="22"/>
      <c r="M196" s="23">
        <f t="shared" si="1"/>
        <v>200</v>
      </c>
      <c r="N196" s="24" t="str">
        <f t="shared" si="2"/>
        <v>沃勒含税</v>
      </c>
      <c r="O196" s="22">
        <f t="shared" si="3"/>
        <v>2</v>
      </c>
    </row>
    <row r="197" ht="15.75" customHeight="1">
      <c r="A197" s="29" t="s">
        <v>261</v>
      </c>
      <c r="B197" s="25" t="s">
        <v>262</v>
      </c>
      <c r="C197" s="25"/>
      <c r="D197" s="26">
        <v>130.0</v>
      </c>
      <c r="E197" s="26"/>
      <c r="F197" s="26"/>
      <c r="G197" s="26"/>
      <c r="H197" s="26"/>
      <c r="I197" s="26"/>
      <c r="J197" s="26"/>
      <c r="K197" s="26"/>
      <c r="L197" s="26"/>
      <c r="M197" s="27">
        <f t="shared" si="1"/>
        <v>130</v>
      </c>
      <c r="N197" s="28" t="str">
        <f t="shared" si="2"/>
        <v>惠华报价</v>
      </c>
      <c r="O197" s="26">
        <f t="shared" si="3"/>
        <v>1</v>
      </c>
    </row>
    <row r="198" ht="71.25" customHeight="1">
      <c r="A198" s="21" t="s">
        <v>263</v>
      </c>
      <c r="B198" s="30" t="s">
        <v>264</v>
      </c>
      <c r="C198" s="21"/>
      <c r="D198" s="22">
        <v>90.0</v>
      </c>
      <c r="E198" s="22"/>
      <c r="F198" s="22"/>
      <c r="G198" s="22"/>
      <c r="H198" s="22"/>
      <c r="I198" s="22"/>
      <c r="J198" s="22"/>
      <c r="K198" s="22"/>
      <c r="L198" s="22"/>
      <c r="M198" s="23">
        <f t="shared" si="1"/>
        <v>90</v>
      </c>
      <c r="N198" s="24" t="str">
        <f t="shared" si="2"/>
        <v>惠华报价</v>
      </c>
      <c r="O198" s="22">
        <f t="shared" si="3"/>
        <v>1</v>
      </c>
    </row>
    <row r="199" ht="57.0" customHeight="1">
      <c r="A199" s="29" t="s">
        <v>265</v>
      </c>
      <c r="B199" s="29" t="s">
        <v>266</v>
      </c>
      <c r="C199" s="25"/>
      <c r="D199" s="26">
        <v>90.0</v>
      </c>
      <c r="E199" s="26"/>
      <c r="F199" s="26"/>
      <c r="G199" s="26"/>
      <c r="H199" s="26"/>
      <c r="I199" s="26"/>
      <c r="J199" s="26"/>
      <c r="K199" s="26"/>
      <c r="L199" s="26"/>
      <c r="M199" s="27">
        <f t="shared" si="1"/>
        <v>90</v>
      </c>
      <c r="N199" s="28" t="str">
        <f t="shared" si="2"/>
        <v>惠华报价</v>
      </c>
      <c r="O199" s="26">
        <f t="shared" si="3"/>
        <v>1</v>
      </c>
    </row>
    <row r="200" ht="42.75" customHeight="1">
      <c r="A200" s="21">
        <v>9.029837E7</v>
      </c>
      <c r="B200" s="30" t="s">
        <v>267</v>
      </c>
      <c r="C200" s="21"/>
      <c r="D200" s="22">
        <v>65.0</v>
      </c>
      <c r="E200" s="22"/>
      <c r="F200" s="22"/>
      <c r="G200" s="22"/>
      <c r="H200" s="22"/>
      <c r="I200" s="22"/>
      <c r="J200" s="22"/>
      <c r="K200" s="22"/>
      <c r="L200" s="22"/>
      <c r="M200" s="23">
        <f t="shared" si="1"/>
        <v>65</v>
      </c>
      <c r="N200" s="24" t="str">
        <f t="shared" si="2"/>
        <v>惠华报价</v>
      </c>
      <c r="O200" s="22">
        <f t="shared" si="3"/>
        <v>1</v>
      </c>
    </row>
    <row r="201" ht="57.0" customHeight="1">
      <c r="A201" s="29" t="s">
        <v>268</v>
      </c>
      <c r="B201" s="29" t="s">
        <v>269</v>
      </c>
      <c r="C201" s="25"/>
      <c r="D201" s="26">
        <v>65.0</v>
      </c>
      <c r="E201" s="26"/>
      <c r="F201" s="26"/>
      <c r="G201" s="26"/>
      <c r="H201" s="26"/>
      <c r="I201" s="26"/>
      <c r="J201" s="26"/>
      <c r="K201" s="26"/>
      <c r="L201" s="26"/>
      <c r="M201" s="27">
        <f t="shared" si="1"/>
        <v>65</v>
      </c>
      <c r="N201" s="28" t="str">
        <f t="shared" si="2"/>
        <v>惠华报价</v>
      </c>
      <c r="O201" s="26">
        <f t="shared" si="3"/>
        <v>1</v>
      </c>
    </row>
    <row r="202" ht="71.25" customHeight="1">
      <c r="A202" s="30" t="s">
        <v>270</v>
      </c>
      <c r="B202" s="30" t="s">
        <v>271</v>
      </c>
      <c r="C202" s="21"/>
      <c r="D202" s="22">
        <v>65.0</v>
      </c>
      <c r="E202" s="22"/>
      <c r="F202" s="22"/>
      <c r="G202" s="22"/>
      <c r="H202" s="22"/>
      <c r="I202" s="22"/>
      <c r="J202" s="22"/>
      <c r="K202" s="22"/>
      <c r="L202" s="22"/>
      <c r="M202" s="23">
        <f t="shared" si="1"/>
        <v>65</v>
      </c>
      <c r="N202" s="24" t="str">
        <f t="shared" si="2"/>
        <v>惠华报价</v>
      </c>
      <c r="O202" s="22">
        <f t="shared" si="3"/>
        <v>1</v>
      </c>
    </row>
    <row r="203" ht="71.25" customHeight="1">
      <c r="A203" s="29" t="s">
        <v>272</v>
      </c>
      <c r="B203" s="29" t="s">
        <v>273</v>
      </c>
      <c r="C203" s="25"/>
      <c r="D203" s="26">
        <v>65.0</v>
      </c>
      <c r="E203" s="26"/>
      <c r="F203" s="26"/>
      <c r="G203" s="26"/>
      <c r="H203" s="26"/>
      <c r="I203" s="26"/>
      <c r="J203" s="26"/>
      <c r="K203" s="26"/>
      <c r="L203" s="26"/>
      <c r="M203" s="27">
        <f t="shared" si="1"/>
        <v>65</v>
      </c>
      <c r="N203" s="28" t="str">
        <f t="shared" si="2"/>
        <v>惠华报价</v>
      </c>
      <c r="O203" s="26">
        <f t="shared" si="3"/>
        <v>1</v>
      </c>
    </row>
    <row r="204" ht="71.25" customHeight="1">
      <c r="A204" s="30" t="s">
        <v>274</v>
      </c>
      <c r="B204" s="30" t="s">
        <v>275</v>
      </c>
      <c r="C204" s="21"/>
      <c r="D204" s="22">
        <v>65.0</v>
      </c>
      <c r="E204" s="22"/>
      <c r="F204" s="22"/>
      <c r="G204" s="22"/>
      <c r="H204" s="22"/>
      <c r="I204" s="22"/>
      <c r="J204" s="22"/>
      <c r="K204" s="22"/>
      <c r="L204" s="22"/>
      <c r="M204" s="23">
        <f t="shared" si="1"/>
        <v>65</v>
      </c>
      <c r="N204" s="24" t="str">
        <f t="shared" si="2"/>
        <v>惠华报价</v>
      </c>
      <c r="O204" s="22">
        <f t="shared" si="3"/>
        <v>1</v>
      </c>
    </row>
    <row r="205" ht="71.25" customHeight="1">
      <c r="A205" s="29" t="s">
        <v>276</v>
      </c>
      <c r="B205" s="29" t="s">
        <v>277</v>
      </c>
      <c r="C205" s="25"/>
      <c r="D205" s="26">
        <v>65.0</v>
      </c>
      <c r="E205" s="26"/>
      <c r="F205" s="26"/>
      <c r="G205" s="26"/>
      <c r="H205" s="26"/>
      <c r="I205" s="26"/>
      <c r="J205" s="26"/>
      <c r="K205" s="26"/>
      <c r="L205" s="26"/>
      <c r="M205" s="27">
        <f t="shared" si="1"/>
        <v>65</v>
      </c>
      <c r="N205" s="28" t="str">
        <f t="shared" si="2"/>
        <v>惠华报价</v>
      </c>
      <c r="O205" s="26">
        <f t="shared" si="3"/>
        <v>1</v>
      </c>
    </row>
    <row r="206" ht="57.0" customHeight="1">
      <c r="A206" s="30" t="s">
        <v>278</v>
      </c>
      <c r="B206" s="30" t="s">
        <v>279</v>
      </c>
      <c r="C206" s="21"/>
      <c r="D206" s="22">
        <v>65.0</v>
      </c>
      <c r="E206" s="22"/>
      <c r="F206" s="22"/>
      <c r="G206" s="22"/>
      <c r="H206" s="22"/>
      <c r="I206" s="22"/>
      <c r="J206" s="22"/>
      <c r="K206" s="22"/>
      <c r="L206" s="22"/>
      <c r="M206" s="23">
        <f t="shared" si="1"/>
        <v>65</v>
      </c>
      <c r="N206" s="24" t="str">
        <f t="shared" si="2"/>
        <v>惠华报价</v>
      </c>
      <c r="O206" s="22">
        <f t="shared" si="3"/>
        <v>1</v>
      </c>
    </row>
    <row r="207" ht="57.0" customHeight="1">
      <c r="A207" s="25">
        <v>9.6325246E7</v>
      </c>
      <c r="B207" s="25" t="s">
        <v>280</v>
      </c>
      <c r="C207" s="25"/>
      <c r="D207" s="26">
        <v>65.0</v>
      </c>
      <c r="E207" s="26"/>
      <c r="F207" s="26"/>
      <c r="G207" s="26"/>
      <c r="H207" s="26"/>
      <c r="I207" s="26"/>
      <c r="J207" s="26"/>
      <c r="K207" s="26"/>
      <c r="L207" s="26"/>
      <c r="M207" s="27">
        <f t="shared" si="1"/>
        <v>65</v>
      </c>
      <c r="N207" s="28" t="str">
        <f t="shared" si="2"/>
        <v>惠华报价</v>
      </c>
      <c r="O207" s="26">
        <f t="shared" si="3"/>
        <v>1</v>
      </c>
    </row>
    <row r="208" ht="15.75" customHeight="1">
      <c r="A208" s="30" t="s">
        <v>281</v>
      </c>
      <c r="B208" s="30" t="s">
        <v>282</v>
      </c>
      <c r="C208" s="21"/>
      <c r="D208" s="22">
        <v>95.0</v>
      </c>
      <c r="E208" s="22"/>
      <c r="F208" s="22"/>
      <c r="G208" s="22"/>
      <c r="H208" s="22"/>
      <c r="I208" s="22"/>
      <c r="J208" s="22"/>
      <c r="K208" s="22"/>
      <c r="L208" s="22"/>
      <c r="M208" s="23">
        <f t="shared" si="1"/>
        <v>95</v>
      </c>
      <c r="N208" s="24" t="str">
        <f t="shared" si="2"/>
        <v>惠华报价</v>
      </c>
      <c r="O208" s="22">
        <f t="shared" si="3"/>
        <v>1</v>
      </c>
    </row>
    <row r="209" ht="71.25" customHeight="1">
      <c r="A209" s="29" t="s">
        <v>283</v>
      </c>
      <c r="B209" s="25" t="s">
        <v>284</v>
      </c>
      <c r="C209" s="25"/>
      <c r="D209" s="26">
        <v>95.0</v>
      </c>
      <c r="E209" s="26"/>
      <c r="F209" s="26"/>
      <c r="G209" s="26"/>
      <c r="H209" s="26"/>
      <c r="I209" s="26"/>
      <c r="J209" s="26"/>
      <c r="K209" s="26"/>
      <c r="L209" s="26"/>
      <c r="M209" s="27">
        <f t="shared" si="1"/>
        <v>95</v>
      </c>
      <c r="N209" s="28" t="str">
        <f t="shared" si="2"/>
        <v>惠华报价</v>
      </c>
      <c r="O209" s="26">
        <f t="shared" si="3"/>
        <v>1</v>
      </c>
    </row>
    <row r="210" ht="42.75" customHeight="1">
      <c r="A210" s="30" t="s">
        <v>285</v>
      </c>
      <c r="B210" s="21" t="s">
        <v>286</v>
      </c>
      <c r="C210" s="21"/>
      <c r="D210" s="22">
        <v>80.0</v>
      </c>
      <c r="E210" s="22"/>
      <c r="F210" s="22"/>
      <c r="G210" s="22"/>
      <c r="H210" s="22"/>
      <c r="I210" s="22"/>
      <c r="J210" s="22"/>
      <c r="K210" s="22"/>
      <c r="L210" s="22"/>
      <c r="M210" s="23">
        <f t="shared" si="1"/>
        <v>80</v>
      </c>
      <c r="N210" s="24" t="str">
        <f t="shared" si="2"/>
        <v>惠华报价</v>
      </c>
      <c r="O210" s="22">
        <f t="shared" si="3"/>
        <v>1</v>
      </c>
    </row>
    <row r="211" ht="85.5" customHeight="1">
      <c r="A211" s="25">
        <v>9.2067275E7</v>
      </c>
      <c r="B211" s="29" t="s">
        <v>287</v>
      </c>
      <c r="C211" s="25"/>
      <c r="D211" s="26">
        <v>95.0</v>
      </c>
      <c r="E211" s="26"/>
      <c r="F211" s="26"/>
      <c r="G211" s="26"/>
      <c r="H211" s="26"/>
      <c r="I211" s="26"/>
      <c r="J211" s="26"/>
      <c r="K211" s="26"/>
      <c r="L211" s="26"/>
      <c r="M211" s="27">
        <f t="shared" si="1"/>
        <v>95</v>
      </c>
      <c r="N211" s="28" t="str">
        <f t="shared" si="2"/>
        <v>惠华报价</v>
      </c>
      <c r="O211" s="26">
        <f t="shared" si="3"/>
        <v>1</v>
      </c>
    </row>
    <row r="212" ht="57.0" customHeight="1">
      <c r="A212" s="21">
        <v>9.2067276E7</v>
      </c>
      <c r="B212" s="30" t="s">
        <v>288</v>
      </c>
      <c r="C212" s="21"/>
      <c r="D212" s="22">
        <v>95.0</v>
      </c>
      <c r="E212" s="22"/>
      <c r="F212" s="22"/>
      <c r="G212" s="22"/>
      <c r="H212" s="22"/>
      <c r="I212" s="22"/>
      <c r="J212" s="22"/>
      <c r="K212" s="22"/>
      <c r="L212" s="22"/>
      <c r="M212" s="23">
        <f t="shared" si="1"/>
        <v>95</v>
      </c>
      <c r="N212" s="24" t="str">
        <f t="shared" si="2"/>
        <v>惠华报价</v>
      </c>
      <c r="O212" s="22">
        <f t="shared" si="3"/>
        <v>1</v>
      </c>
    </row>
    <row r="213" ht="71.25" customHeight="1">
      <c r="A213" s="29" t="s">
        <v>289</v>
      </c>
      <c r="B213" s="29" t="s">
        <v>290</v>
      </c>
      <c r="C213" s="25"/>
      <c r="D213" s="26">
        <v>80.0</v>
      </c>
      <c r="E213" s="26"/>
      <c r="F213" s="26"/>
      <c r="G213" s="26"/>
      <c r="H213" s="26"/>
      <c r="I213" s="26"/>
      <c r="J213" s="26"/>
      <c r="K213" s="26"/>
      <c r="L213" s="26"/>
      <c r="M213" s="27">
        <f t="shared" si="1"/>
        <v>80</v>
      </c>
      <c r="N213" s="28" t="str">
        <f t="shared" si="2"/>
        <v>惠华报价</v>
      </c>
      <c r="O213" s="26">
        <f t="shared" si="3"/>
        <v>1</v>
      </c>
    </row>
    <row r="214" ht="71.25" customHeight="1">
      <c r="A214" s="30" t="s">
        <v>291</v>
      </c>
      <c r="B214" s="30" t="s">
        <v>292</v>
      </c>
      <c r="C214" s="21"/>
      <c r="D214" s="22">
        <v>75.0</v>
      </c>
      <c r="E214" s="22"/>
      <c r="F214" s="22"/>
      <c r="G214" s="22"/>
      <c r="H214" s="22"/>
      <c r="I214" s="22"/>
      <c r="J214" s="22"/>
      <c r="K214" s="22"/>
      <c r="L214" s="22"/>
      <c r="M214" s="23">
        <f t="shared" si="1"/>
        <v>75</v>
      </c>
      <c r="N214" s="24" t="str">
        <f t="shared" si="2"/>
        <v>惠华报价</v>
      </c>
      <c r="O214" s="22">
        <f t="shared" si="3"/>
        <v>1</v>
      </c>
    </row>
    <row r="215" ht="57.0" customHeight="1">
      <c r="A215" s="25" t="s">
        <v>293</v>
      </c>
      <c r="B215" s="29" t="s">
        <v>294</v>
      </c>
      <c r="C215" s="25"/>
      <c r="D215" s="26">
        <v>74.0</v>
      </c>
      <c r="E215" s="26"/>
      <c r="F215" s="26"/>
      <c r="G215" s="26"/>
      <c r="H215" s="26"/>
      <c r="I215" s="26"/>
      <c r="J215" s="26"/>
      <c r="K215" s="26"/>
      <c r="L215" s="26"/>
      <c r="M215" s="27">
        <f t="shared" si="1"/>
        <v>74</v>
      </c>
      <c r="N215" s="28" t="str">
        <f t="shared" si="2"/>
        <v>惠华报价</v>
      </c>
      <c r="O215" s="26">
        <f t="shared" si="3"/>
        <v>1</v>
      </c>
    </row>
    <row r="216" ht="71.25" customHeight="1">
      <c r="A216" s="30" t="s">
        <v>295</v>
      </c>
      <c r="B216" s="21" t="s">
        <v>296</v>
      </c>
      <c r="C216" s="21"/>
      <c r="D216" s="22">
        <v>65.0</v>
      </c>
      <c r="E216" s="22"/>
      <c r="F216" s="22"/>
      <c r="G216" s="22"/>
      <c r="H216" s="22"/>
      <c r="I216" s="22"/>
      <c r="J216" s="22"/>
      <c r="K216" s="22"/>
      <c r="L216" s="22"/>
      <c r="M216" s="23">
        <f t="shared" si="1"/>
        <v>65</v>
      </c>
      <c r="N216" s="24" t="str">
        <f t="shared" si="2"/>
        <v>惠华报价</v>
      </c>
      <c r="O216" s="22">
        <f t="shared" si="3"/>
        <v>1</v>
      </c>
    </row>
    <row r="217" ht="71.25" customHeight="1">
      <c r="A217" s="29" t="s">
        <v>297</v>
      </c>
      <c r="B217" s="29" t="s">
        <v>298</v>
      </c>
      <c r="C217" s="25"/>
      <c r="D217" s="26">
        <v>80.0</v>
      </c>
      <c r="E217" s="26"/>
      <c r="F217" s="26"/>
      <c r="G217" s="26"/>
      <c r="H217" s="26"/>
      <c r="I217" s="26"/>
      <c r="J217" s="26"/>
      <c r="K217" s="26"/>
      <c r="L217" s="26"/>
      <c r="M217" s="27">
        <f t="shared" si="1"/>
        <v>80</v>
      </c>
      <c r="N217" s="28" t="str">
        <f t="shared" si="2"/>
        <v>惠华报价</v>
      </c>
      <c r="O217" s="26">
        <f t="shared" si="3"/>
        <v>1</v>
      </c>
    </row>
    <row r="218" ht="57.0" customHeight="1">
      <c r="A218" s="21" t="s">
        <v>299</v>
      </c>
      <c r="B218" s="30" t="s">
        <v>300</v>
      </c>
      <c r="C218" s="21"/>
      <c r="D218" s="22">
        <v>80.0</v>
      </c>
      <c r="E218" s="22"/>
      <c r="F218" s="22"/>
      <c r="G218" s="22"/>
      <c r="H218" s="22"/>
      <c r="I218" s="22"/>
      <c r="J218" s="22"/>
      <c r="K218" s="22"/>
      <c r="L218" s="22"/>
      <c r="M218" s="23">
        <f t="shared" si="1"/>
        <v>80</v>
      </c>
      <c r="N218" s="24" t="str">
        <f t="shared" si="2"/>
        <v>惠华报价</v>
      </c>
      <c r="O218" s="22">
        <f t="shared" si="3"/>
        <v>1</v>
      </c>
    </row>
    <row r="219" ht="42.75" customHeight="1">
      <c r="A219" s="25" t="s">
        <v>301</v>
      </c>
      <c r="B219" s="29" t="s">
        <v>302</v>
      </c>
      <c r="C219" s="25"/>
      <c r="D219" s="26">
        <v>135.0</v>
      </c>
      <c r="E219" s="26"/>
      <c r="F219" s="26"/>
      <c r="G219" s="26"/>
      <c r="H219" s="26"/>
      <c r="I219" s="26"/>
      <c r="J219" s="26"/>
      <c r="K219" s="26"/>
      <c r="L219" s="26"/>
      <c r="M219" s="27">
        <f t="shared" si="1"/>
        <v>135</v>
      </c>
      <c r="N219" s="28" t="str">
        <f t="shared" si="2"/>
        <v>惠华报价</v>
      </c>
      <c r="O219" s="26">
        <f t="shared" si="3"/>
        <v>1</v>
      </c>
    </row>
    <row r="220" ht="57.0" customHeight="1">
      <c r="A220" s="30" t="s">
        <v>303</v>
      </c>
      <c r="B220" s="30" t="s">
        <v>304</v>
      </c>
      <c r="C220" s="21"/>
      <c r="D220" s="22">
        <v>95.0</v>
      </c>
      <c r="E220" s="22"/>
      <c r="F220" s="22"/>
      <c r="G220" s="22"/>
      <c r="H220" s="22"/>
      <c r="I220" s="22"/>
      <c r="J220" s="22"/>
      <c r="K220" s="22"/>
      <c r="L220" s="22"/>
      <c r="M220" s="23">
        <f t="shared" si="1"/>
        <v>95</v>
      </c>
      <c r="N220" s="24" t="str">
        <f t="shared" si="2"/>
        <v>惠华报价</v>
      </c>
      <c r="O220" s="22">
        <f t="shared" si="3"/>
        <v>1</v>
      </c>
    </row>
    <row r="221" ht="57.0" customHeight="1">
      <c r="A221" s="29" t="s">
        <v>305</v>
      </c>
      <c r="B221" s="29" t="s">
        <v>306</v>
      </c>
      <c r="C221" s="25"/>
      <c r="D221" s="26">
        <v>95.0</v>
      </c>
      <c r="E221" s="26"/>
      <c r="F221" s="26"/>
      <c r="G221" s="26"/>
      <c r="H221" s="26"/>
      <c r="I221" s="26"/>
      <c r="J221" s="26"/>
      <c r="K221" s="26"/>
      <c r="L221" s="26"/>
      <c r="M221" s="27">
        <f t="shared" si="1"/>
        <v>95</v>
      </c>
      <c r="N221" s="28" t="str">
        <f t="shared" si="2"/>
        <v>惠华报价</v>
      </c>
      <c r="O221" s="26">
        <f t="shared" si="3"/>
        <v>1</v>
      </c>
    </row>
    <row r="222" ht="28.5" customHeight="1">
      <c r="A222" s="30" t="s">
        <v>307</v>
      </c>
      <c r="B222" s="30" t="s">
        <v>308</v>
      </c>
      <c r="C222" s="21"/>
      <c r="D222" s="22">
        <v>120.0</v>
      </c>
      <c r="E222" s="22"/>
      <c r="F222" s="22"/>
      <c r="G222" s="22"/>
      <c r="H222" s="22"/>
      <c r="I222" s="22"/>
      <c r="J222" s="22"/>
      <c r="K222" s="22"/>
      <c r="L222" s="22"/>
      <c r="M222" s="23">
        <f t="shared" si="1"/>
        <v>120</v>
      </c>
      <c r="N222" s="24" t="str">
        <f t="shared" si="2"/>
        <v>惠华报价</v>
      </c>
      <c r="O222" s="22">
        <f t="shared" si="3"/>
        <v>1</v>
      </c>
    </row>
    <row r="223" ht="42.75" customHeight="1">
      <c r="A223" s="29" t="s">
        <v>309</v>
      </c>
      <c r="B223" s="29" t="s">
        <v>310</v>
      </c>
      <c r="C223" s="25"/>
      <c r="D223" s="26">
        <v>98.0</v>
      </c>
      <c r="E223" s="26"/>
      <c r="F223" s="26"/>
      <c r="G223" s="26"/>
      <c r="H223" s="26"/>
      <c r="I223" s="26"/>
      <c r="J223" s="26"/>
      <c r="K223" s="26"/>
      <c r="L223" s="26"/>
      <c r="M223" s="27">
        <f t="shared" si="1"/>
        <v>98</v>
      </c>
      <c r="N223" s="28" t="str">
        <f t="shared" si="2"/>
        <v>惠华报价</v>
      </c>
      <c r="O223" s="26">
        <f t="shared" si="3"/>
        <v>1</v>
      </c>
    </row>
    <row r="224" ht="71.25" customHeight="1">
      <c r="A224" s="30" t="s">
        <v>311</v>
      </c>
      <c r="B224" s="30" t="s">
        <v>312</v>
      </c>
      <c r="C224" s="21"/>
      <c r="D224" s="22">
        <v>100.0</v>
      </c>
      <c r="E224" s="22"/>
      <c r="F224" s="22"/>
      <c r="G224" s="22"/>
      <c r="H224" s="22"/>
      <c r="I224" s="22"/>
      <c r="J224" s="22"/>
      <c r="K224" s="22"/>
      <c r="L224" s="22"/>
      <c r="M224" s="23">
        <f t="shared" si="1"/>
        <v>100</v>
      </c>
      <c r="N224" s="24" t="str">
        <f t="shared" si="2"/>
        <v>惠华报价</v>
      </c>
      <c r="O224" s="22">
        <f t="shared" si="3"/>
        <v>1</v>
      </c>
    </row>
    <row r="225" ht="71.25" customHeight="1">
      <c r="A225" s="25">
        <v>9.6325246E7</v>
      </c>
      <c r="B225" s="25" t="s">
        <v>313</v>
      </c>
      <c r="C225" s="25"/>
      <c r="D225" s="26">
        <v>65.0</v>
      </c>
      <c r="E225" s="26"/>
      <c r="F225" s="26"/>
      <c r="G225" s="26"/>
      <c r="H225" s="26"/>
      <c r="I225" s="26"/>
      <c r="J225" s="26"/>
      <c r="K225" s="26"/>
      <c r="L225" s="26"/>
      <c r="M225" s="27">
        <f t="shared" si="1"/>
        <v>65</v>
      </c>
      <c r="N225" s="28" t="str">
        <f t="shared" si="2"/>
        <v>惠华报价</v>
      </c>
      <c r="O225" s="26">
        <f t="shared" si="3"/>
        <v>1</v>
      </c>
    </row>
    <row r="226" ht="42.75" customHeight="1">
      <c r="A226" s="30" t="s">
        <v>314</v>
      </c>
      <c r="B226" s="21" t="s">
        <v>315</v>
      </c>
      <c r="C226" s="21"/>
      <c r="D226" s="22">
        <v>95.0</v>
      </c>
      <c r="E226" s="22"/>
      <c r="F226" s="22"/>
      <c r="G226" s="22"/>
      <c r="H226" s="22"/>
      <c r="I226" s="22"/>
      <c r="J226" s="22"/>
      <c r="K226" s="22"/>
      <c r="L226" s="22"/>
      <c r="M226" s="23">
        <f t="shared" si="1"/>
        <v>95</v>
      </c>
      <c r="N226" s="24" t="str">
        <f t="shared" si="2"/>
        <v>惠华报价</v>
      </c>
      <c r="O226" s="22">
        <f t="shared" si="3"/>
        <v>1</v>
      </c>
    </row>
    <row r="227" ht="71.25" customHeight="1">
      <c r="A227" s="29" t="s">
        <v>316</v>
      </c>
      <c r="B227" s="29" t="s">
        <v>282</v>
      </c>
      <c r="C227" s="25"/>
      <c r="D227" s="26">
        <v>95.0</v>
      </c>
      <c r="E227" s="26"/>
      <c r="F227" s="26"/>
      <c r="G227" s="26"/>
      <c r="H227" s="26"/>
      <c r="I227" s="26"/>
      <c r="J227" s="26"/>
      <c r="K227" s="26"/>
      <c r="L227" s="26"/>
      <c r="M227" s="27">
        <f t="shared" si="1"/>
        <v>95</v>
      </c>
      <c r="N227" s="28" t="str">
        <f t="shared" si="2"/>
        <v>惠华报价</v>
      </c>
      <c r="O227" s="26">
        <f t="shared" si="3"/>
        <v>1</v>
      </c>
    </row>
    <row r="228" ht="71.25" customHeight="1">
      <c r="A228" s="30" t="s">
        <v>317</v>
      </c>
      <c r="B228" s="30" t="s">
        <v>318</v>
      </c>
      <c r="C228" s="21"/>
      <c r="D228" s="22">
        <v>95.0</v>
      </c>
      <c r="E228" s="22"/>
      <c r="F228" s="22"/>
      <c r="G228" s="22"/>
      <c r="H228" s="22"/>
      <c r="I228" s="22"/>
      <c r="J228" s="22"/>
      <c r="K228" s="22"/>
      <c r="L228" s="22"/>
      <c r="M228" s="23">
        <f t="shared" si="1"/>
        <v>95</v>
      </c>
      <c r="N228" s="24" t="str">
        <f t="shared" si="2"/>
        <v>惠华报价</v>
      </c>
      <c r="O228" s="22">
        <f t="shared" si="3"/>
        <v>1</v>
      </c>
    </row>
    <row r="229" ht="71.25" customHeight="1">
      <c r="A229" s="29" t="s">
        <v>319</v>
      </c>
      <c r="B229" s="29" t="s">
        <v>320</v>
      </c>
      <c r="C229" s="25"/>
      <c r="D229" s="26">
        <v>95.0</v>
      </c>
      <c r="E229" s="26"/>
      <c r="F229" s="26"/>
      <c r="G229" s="26"/>
      <c r="H229" s="26"/>
      <c r="I229" s="26"/>
      <c r="J229" s="26"/>
      <c r="K229" s="26"/>
      <c r="L229" s="26"/>
      <c r="M229" s="27">
        <f t="shared" si="1"/>
        <v>95</v>
      </c>
      <c r="N229" s="28" t="str">
        <f t="shared" si="2"/>
        <v>惠华报价</v>
      </c>
      <c r="O229" s="26">
        <f t="shared" si="3"/>
        <v>1</v>
      </c>
    </row>
    <row r="230" ht="71.25" customHeight="1">
      <c r="A230" s="21">
        <v>1.0413953E7</v>
      </c>
      <c r="B230" s="21" t="s">
        <v>321</v>
      </c>
      <c r="C230" s="21"/>
      <c r="D230" s="22">
        <v>130.0</v>
      </c>
      <c r="E230" s="22"/>
      <c r="F230" s="22"/>
      <c r="G230" s="22"/>
      <c r="H230" s="22"/>
      <c r="I230" s="22"/>
      <c r="J230" s="22"/>
      <c r="K230" s="22"/>
      <c r="L230" s="22"/>
      <c r="M230" s="23">
        <f t="shared" si="1"/>
        <v>130</v>
      </c>
      <c r="N230" s="24" t="str">
        <f t="shared" si="2"/>
        <v>惠华报价</v>
      </c>
      <c r="O230" s="22">
        <f t="shared" si="3"/>
        <v>1</v>
      </c>
    </row>
    <row r="231" ht="42.75" customHeight="1">
      <c r="A231" s="29" t="s">
        <v>322</v>
      </c>
      <c r="B231" s="29" t="s">
        <v>323</v>
      </c>
      <c r="C231" s="25"/>
      <c r="D231" s="26">
        <v>140.0</v>
      </c>
      <c r="E231" s="26"/>
      <c r="F231" s="26"/>
      <c r="G231" s="26"/>
      <c r="H231" s="26"/>
      <c r="I231" s="26"/>
      <c r="J231" s="26"/>
      <c r="K231" s="26"/>
      <c r="L231" s="26"/>
      <c r="M231" s="27">
        <f t="shared" si="1"/>
        <v>140</v>
      </c>
      <c r="N231" s="28" t="str">
        <f t="shared" si="2"/>
        <v>惠华报价</v>
      </c>
      <c r="O231" s="26">
        <f t="shared" si="3"/>
        <v>1</v>
      </c>
    </row>
    <row r="232" ht="28.5" customHeight="1">
      <c r="A232" s="30" t="s">
        <v>324</v>
      </c>
      <c r="B232" s="30" t="s">
        <v>325</v>
      </c>
      <c r="C232" s="21"/>
      <c r="D232" s="22">
        <v>65.0</v>
      </c>
      <c r="E232" s="22"/>
      <c r="F232" s="22"/>
      <c r="G232" s="22"/>
      <c r="H232" s="22"/>
      <c r="I232" s="22"/>
      <c r="J232" s="22"/>
      <c r="K232" s="22"/>
      <c r="L232" s="22"/>
      <c r="M232" s="23">
        <f t="shared" si="1"/>
        <v>65</v>
      </c>
      <c r="N232" s="24" t="str">
        <f t="shared" si="2"/>
        <v>惠华报价</v>
      </c>
      <c r="O232" s="22">
        <f t="shared" si="3"/>
        <v>1</v>
      </c>
    </row>
    <row r="233" ht="71.25" customHeight="1">
      <c r="A233" s="29" t="s">
        <v>326</v>
      </c>
      <c r="B233" s="29" t="s">
        <v>327</v>
      </c>
      <c r="C233" s="25"/>
      <c r="D233" s="26">
        <v>95.0</v>
      </c>
      <c r="E233" s="26"/>
      <c r="F233" s="26"/>
      <c r="G233" s="26"/>
      <c r="H233" s="26"/>
      <c r="I233" s="26"/>
      <c r="J233" s="26"/>
      <c r="K233" s="26"/>
      <c r="L233" s="26"/>
      <c r="M233" s="27">
        <f t="shared" si="1"/>
        <v>95</v>
      </c>
      <c r="N233" s="28" t="str">
        <f t="shared" si="2"/>
        <v>惠华报价</v>
      </c>
      <c r="O233" s="26">
        <f t="shared" si="3"/>
        <v>1</v>
      </c>
    </row>
    <row r="234" ht="71.25" customHeight="1">
      <c r="A234" s="30" t="s">
        <v>328</v>
      </c>
      <c r="B234" s="30" t="s">
        <v>329</v>
      </c>
      <c r="C234" s="21"/>
      <c r="D234" s="22">
        <v>95.0</v>
      </c>
      <c r="E234" s="22"/>
      <c r="F234" s="22"/>
      <c r="G234" s="22"/>
      <c r="H234" s="22"/>
      <c r="I234" s="22"/>
      <c r="J234" s="22"/>
      <c r="K234" s="22"/>
      <c r="L234" s="22"/>
      <c r="M234" s="23">
        <f t="shared" si="1"/>
        <v>95</v>
      </c>
      <c r="N234" s="24" t="str">
        <f t="shared" si="2"/>
        <v>惠华报价</v>
      </c>
      <c r="O234" s="22">
        <f t="shared" si="3"/>
        <v>1</v>
      </c>
    </row>
    <row r="235" ht="71.25" customHeight="1">
      <c r="A235" s="25" t="s">
        <v>330</v>
      </c>
      <c r="B235" s="29" t="s">
        <v>331</v>
      </c>
      <c r="C235" s="25"/>
      <c r="D235" s="26">
        <v>195.0</v>
      </c>
      <c r="E235" s="26"/>
      <c r="F235" s="26"/>
      <c r="G235" s="26"/>
      <c r="H235" s="26"/>
      <c r="I235" s="26"/>
      <c r="J235" s="26"/>
      <c r="K235" s="26"/>
      <c r="L235" s="26"/>
      <c r="M235" s="27">
        <f t="shared" si="1"/>
        <v>195</v>
      </c>
      <c r="N235" s="28" t="str">
        <f t="shared" si="2"/>
        <v>惠华报价</v>
      </c>
      <c r="O235" s="26">
        <f t="shared" si="3"/>
        <v>1</v>
      </c>
    </row>
    <row r="236" ht="42.75" customHeight="1">
      <c r="A236" s="21" t="s">
        <v>332</v>
      </c>
      <c r="B236" s="30" t="s">
        <v>333</v>
      </c>
      <c r="C236" s="21"/>
      <c r="D236" s="22">
        <v>195.0</v>
      </c>
      <c r="E236" s="22"/>
      <c r="F236" s="22"/>
      <c r="G236" s="22"/>
      <c r="H236" s="22"/>
      <c r="I236" s="22"/>
      <c r="J236" s="22"/>
      <c r="K236" s="22"/>
      <c r="L236" s="22"/>
      <c r="M236" s="23">
        <f t="shared" si="1"/>
        <v>195</v>
      </c>
      <c r="N236" s="24" t="str">
        <f t="shared" si="2"/>
        <v>惠华报价</v>
      </c>
      <c r="O236" s="22">
        <f t="shared" si="3"/>
        <v>1</v>
      </c>
    </row>
    <row r="237" ht="71.25" customHeight="1">
      <c r="A237" s="29" t="s">
        <v>334</v>
      </c>
      <c r="B237" s="29" t="s">
        <v>335</v>
      </c>
      <c r="C237" s="25"/>
      <c r="D237" s="26">
        <v>195.0</v>
      </c>
      <c r="E237" s="26"/>
      <c r="F237" s="26"/>
      <c r="G237" s="26"/>
      <c r="H237" s="26"/>
      <c r="I237" s="26"/>
      <c r="J237" s="26"/>
      <c r="K237" s="26"/>
      <c r="L237" s="26"/>
      <c r="M237" s="27">
        <f t="shared" si="1"/>
        <v>195</v>
      </c>
      <c r="N237" s="28" t="str">
        <f t="shared" si="2"/>
        <v>惠华报价</v>
      </c>
      <c r="O237" s="26">
        <f t="shared" si="3"/>
        <v>1</v>
      </c>
    </row>
    <row r="238" ht="71.25" customHeight="1">
      <c r="A238" s="21" t="s">
        <v>336</v>
      </c>
      <c r="B238" s="30" t="s">
        <v>337</v>
      </c>
      <c r="C238" s="21"/>
      <c r="D238" s="22">
        <v>195.0</v>
      </c>
      <c r="E238" s="22"/>
      <c r="F238" s="22"/>
      <c r="G238" s="22"/>
      <c r="H238" s="22"/>
      <c r="I238" s="22"/>
      <c r="J238" s="22"/>
      <c r="K238" s="22"/>
      <c r="L238" s="22"/>
      <c r="M238" s="23">
        <f t="shared" si="1"/>
        <v>195</v>
      </c>
      <c r="N238" s="24" t="str">
        <f t="shared" si="2"/>
        <v>惠华报价</v>
      </c>
      <c r="O238" s="22">
        <f t="shared" si="3"/>
        <v>1</v>
      </c>
    </row>
    <row r="239" ht="57.0" customHeight="1">
      <c r="A239" s="25" t="s">
        <v>338</v>
      </c>
      <c r="B239" s="29" t="s">
        <v>339</v>
      </c>
      <c r="C239" s="25"/>
      <c r="D239" s="26">
        <v>195.0</v>
      </c>
      <c r="E239" s="26"/>
      <c r="F239" s="26"/>
      <c r="G239" s="26"/>
      <c r="H239" s="26"/>
      <c r="I239" s="26"/>
      <c r="J239" s="26"/>
      <c r="K239" s="26"/>
      <c r="L239" s="26"/>
      <c r="M239" s="27">
        <f t="shared" si="1"/>
        <v>195</v>
      </c>
      <c r="N239" s="28" t="str">
        <f t="shared" si="2"/>
        <v>惠华报价</v>
      </c>
      <c r="O239" s="26">
        <f t="shared" si="3"/>
        <v>1</v>
      </c>
    </row>
    <row r="240" ht="57.0" customHeight="1">
      <c r="A240" s="30" t="s">
        <v>340</v>
      </c>
      <c r="B240" s="21" t="s">
        <v>341</v>
      </c>
      <c r="C240" s="21"/>
      <c r="D240" s="22">
        <v>195.0</v>
      </c>
      <c r="E240" s="22"/>
      <c r="F240" s="22"/>
      <c r="G240" s="22"/>
      <c r="H240" s="22"/>
      <c r="I240" s="22"/>
      <c r="J240" s="22"/>
      <c r="K240" s="22"/>
      <c r="L240" s="22"/>
      <c r="M240" s="23">
        <f t="shared" si="1"/>
        <v>195</v>
      </c>
      <c r="N240" s="24" t="str">
        <f t="shared" si="2"/>
        <v>惠华报价</v>
      </c>
      <c r="O240" s="22">
        <f t="shared" si="3"/>
        <v>1</v>
      </c>
    </row>
    <row r="241" ht="57.0" customHeight="1">
      <c r="A241" s="25" t="s">
        <v>342</v>
      </c>
      <c r="B241" s="25" t="s">
        <v>343</v>
      </c>
      <c r="C241" s="25"/>
      <c r="D241" s="26">
        <v>68.0</v>
      </c>
      <c r="E241" s="26"/>
      <c r="F241" s="26"/>
      <c r="G241" s="26"/>
      <c r="H241" s="26"/>
      <c r="I241" s="26"/>
      <c r="J241" s="26"/>
      <c r="K241" s="26"/>
      <c r="L241" s="26"/>
      <c r="M241" s="27">
        <f t="shared" si="1"/>
        <v>68</v>
      </c>
      <c r="N241" s="28" t="str">
        <f t="shared" si="2"/>
        <v>惠华报价</v>
      </c>
      <c r="O241" s="26">
        <f t="shared" si="3"/>
        <v>1</v>
      </c>
    </row>
    <row r="242" ht="57.0" customHeight="1">
      <c r="A242" s="30" t="s">
        <v>344</v>
      </c>
      <c r="B242" s="30" t="s">
        <v>345</v>
      </c>
      <c r="C242" s="21"/>
      <c r="D242" s="22">
        <v>68.0</v>
      </c>
      <c r="E242" s="22"/>
      <c r="F242" s="22"/>
      <c r="G242" s="22"/>
      <c r="H242" s="22"/>
      <c r="I242" s="22"/>
      <c r="J242" s="22"/>
      <c r="K242" s="22"/>
      <c r="L242" s="22"/>
      <c r="M242" s="23">
        <f t="shared" si="1"/>
        <v>68</v>
      </c>
      <c r="N242" s="24" t="str">
        <f t="shared" si="2"/>
        <v>惠华报价</v>
      </c>
      <c r="O242" s="22">
        <f t="shared" si="3"/>
        <v>1</v>
      </c>
    </row>
    <row r="243" ht="57.0" customHeight="1">
      <c r="A243" s="25" t="s">
        <v>346</v>
      </c>
      <c r="B243" s="29" t="s">
        <v>347</v>
      </c>
      <c r="C243" s="25"/>
      <c r="D243" s="26">
        <v>68.0</v>
      </c>
      <c r="E243" s="26"/>
      <c r="F243" s="26"/>
      <c r="G243" s="26"/>
      <c r="H243" s="26"/>
      <c r="I243" s="26"/>
      <c r="J243" s="26"/>
      <c r="K243" s="26"/>
      <c r="L243" s="26"/>
      <c r="M243" s="27">
        <f t="shared" si="1"/>
        <v>68</v>
      </c>
      <c r="N243" s="28" t="str">
        <f t="shared" si="2"/>
        <v>惠华报价</v>
      </c>
      <c r="O243" s="26">
        <f t="shared" si="3"/>
        <v>1</v>
      </c>
    </row>
    <row r="244" ht="28.5" customHeight="1">
      <c r="A244" s="30" t="s">
        <v>348</v>
      </c>
      <c r="B244" s="30" t="s">
        <v>349</v>
      </c>
      <c r="C244" s="21"/>
      <c r="D244" s="22">
        <v>90.0</v>
      </c>
      <c r="E244" s="22"/>
      <c r="F244" s="22"/>
      <c r="G244" s="22"/>
      <c r="H244" s="22"/>
      <c r="I244" s="22"/>
      <c r="J244" s="22"/>
      <c r="K244" s="22"/>
      <c r="L244" s="22"/>
      <c r="M244" s="23">
        <f t="shared" si="1"/>
        <v>90</v>
      </c>
      <c r="N244" s="24" t="str">
        <f t="shared" si="2"/>
        <v>惠华报价</v>
      </c>
      <c r="O244" s="22">
        <f t="shared" si="3"/>
        <v>1</v>
      </c>
    </row>
    <row r="245" ht="71.25" customHeight="1">
      <c r="A245" s="29" t="s">
        <v>350</v>
      </c>
      <c r="B245" s="29" t="s">
        <v>351</v>
      </c>
      <c r="C245" s="25"/>
      <c r="D245" s="26">
        <v>90.0</v>
      </c>
      <c r="E245" s="26"/>
      <c r="F245" s="26"/>
      <c r="G245" s="26"/>
      <c r="H245" s="26"/>
      <c r="I245" s="26"/>
      <c r="J245" s="26"/>
      <c r="K245" s="26"/>
      <c r="L245" s="26"/>
      <c r="M245" s="27">
        <f t="shared" si="1"/>
        <v>90</v>
      </c>
      <c r="N245" s="28" t="str">
        <f t="shared" si="2"/>
        <v>惠华报价</v>
      </c>
      <c r="O245" s="26">
        <f t="shared" si="3"/>
        <v>1</v>
      </c>
    </row>
    <row r="246" ht="28.5" customHeight="1">
      <c r="A246" s="30" t="s">
        <v>352</v>
      </c>
      <c r="B246" s="30" t="s">
        <v>353</v>
      </c>
      <c r="C246" s="21"/>
      <c r="D246" s="22">
        <v>88.0</v>
      </c>
      <c r="E246" s="22"/>
      <c r="F246" s="22"/>
      <c r="G246" s="22"/>
      <c r="H246" s="22"/>
      <c r="I246" s="22"/>
      <c r="J246" s="22"/>
      <c r="K246" s="22"/>
      <c r="L246" s="22"/>
      <c r="M246" s="23">
        <f t="shared" si="1"/>
        <v>88</v>
      </c>
      <c r="N246" s="24" t="str">
        <f t="shared" si="2"/>
        <v>惠华报价</v>
      </c>
      <c r="O246" s="22">
        <f t="shared" si="3"/>
        <v>1</v>
      </c>
    </row>
    <row r="247" ht="42.75" customHeight="1">
      <c r="A247" s="29" t="s">
        <v>354</v>
      </c>
      <c r="B247" s="29" t="s">
        <v>355</v>
      </c>
      <c r="C247" s="25"/>
      <c r="D247" s="26">
        <v>88.0</v>
      </c>
      <c r="E247" s="26"/>
      <c r="F247" s="26"/>
      <c r="G247" s="26"/>
      <c r="H247" s="26"/>
      <c r="I247" s="26"/>
      <c r="J247" s="26"/>
      <c r="K247" s="26"/>
      <c r="L247" s="26"/>
      <c r="M247" s="27">
        <f t="shared" si="1"/>
        <v>88</v>
      </c>
      <c r="N247" s="28" t="str">
        <f t="shared" si="2"/>
        <v>惠华报价</v>
      </c>
      <c r="O247" s="26">
        <f t="shared" si="3"/>
        <v>1</v>
      </c>
    </row>
    <row r="248" ht="42.75" customHeight="1">
      <c r="A248" s="30" t="s">
        <v>356</v>
      </c>
      <c r="B248" s="30" t="s">
        <v>357</v>
      </c>
      <c r="C248" s="21"/>
      <c r="D248" s="22">
        <v>92.0</v>
      </c>
      <c r="E248" s="22"/>
      <c r="F248" s="22"/>
      <c r="G248" s="22"/>
      <c r="H248" s="22"/>
      <c r="I248" s="22"/>
      <c r="J248" s="22"/>
      <c r="K248" s="22"/>
      <c r="L248" s="22"/>
      <c r="M248" s="23">
        <f t="shared" si="1"/>
        <v>92</v>
      </c>
      <c r="N248" s="24" t="str">
        <f t="shared" si="2"/>
        <v>惠华报价</v>
      </c>
      <c r="O248" s="22">
        <f t="shared" si="3"/>
        <v>1</v>
      </c>
    </row>
    <row r="249" ht="71.25" customHeight="1">
      <c r="A249" s="25" t="s">
        <v>358</v>
      </c>
      <c r="B249" s="29" t="s">
        <v>359</v>
      </c>
      <c r="C249" s="25"/>
      <c r="D249" s="26">
        <v>90.0</v>
      </c>
      <c r="E249" s="26"/>
      <c r="F249" s="26"/>
      <c r="G249" s="26"/>
      <c r="H249" s="26"/>
      <c r="I249" s="26"/>
      <c r="J249" s="26"/>
      <c r="K249" s="26"/>
      <c r="L249" s="26"/>
      <c r="M249" s="27">
        <f t="shared" si="1"/>
        <v>90</v>
      </c>
      <c r="N249" s="28" t="str">
        <f t="shared" si="2"/>
        <v>惠华报价</v>
      </c>
      <c r="O249" s="26">
        <f t="shared" si="3"/>
        <v>1</v>
      </c>
    </row>
    <row r="250" ht="28.5" customHeight="1">
      <c r="A250" s="30" t="s">
        <v>360</v>
      </c>
      <c r="B250" s="30" t="s">
        <v>361</v>
      </c>
      <c r="C250" s="21"/>
      <c r="D250" s="22">
        <v>90.0</v>
      </c>
      <c r="E250" s="22"/>
      <c r="F250" s="22"/>
      <c r="G250" s="22"/>
      <c r="H250" s="22"/>
      <c r="I250" s="22"/>
      <c r="J250" s="22"/>
      <c r="K250" s="22"/>
      <c r="L250" s="22"/>
      <c r="M250" s="23">
        <f t="shared" si="1"/>
        <v>90</v>
      </c>
      <c r="N250" s="24" t="str">
        <f t="shared" si="2"/>
        <v>惠华报价</v>
      </c>
      <c r="O250" s="22">
        <f t="shared" si="3"/>
        <v>1</v>
      </c>
    </row>
    <row r="251" ht="71.25" customHeight="1">
      <c r="A251" s="29" t="s">
        <v>362</v>
      </c>
      <c r="B251" s="29" t="s">
        <v>363</v>
      </c>
      <c r="C251" s="25"/>
      <c r="D251" s="26">
        <v>90.0</v>
      </c>
      <c r="E251" s="26"/>
      <c r="F251" s="26"/>
      <c r="G251" s="26"/>
      <c r="H251" s="26"/>
      <c r="I251" s="26"/>
      <c r="J251" s="26"/>
      <c r="K251" s="26"/>
      <c r="L251" s="26"/>
      <c r="M251" s="27">
        <f t="shared" si="1"/>
        <v>90</v>
      </c>
      <c r="N251" s="28" t="str">
        <f t="shared" si="2"/>
        <v>惠华报价</v>
      </c>
      <c r="O251" s="26">
        <f t="shared" si="3"/>
        <v>1</v>
      </c>
    </row>
    <row r="252" ht="85.5" customHeight="1">
      <c r="A252" s="30" t="s">
        <v>364</v>
      </c>
      <c r="B252" s="30" t="s">
        <v>365</v>
      </c>
      <c r="C252" s="21"/>
      <c r="D252" s="22">
        <v>90.0</v>
      </c>
      <c r="E252" s="22"/>
      <c r="F252" s="22"/>
      <c r="G252" s="22"/>
      <c r="H252" s="22"/>
      <c r="I252" s="22"/>
      <c r="J252" s="22"/>
      <c r="K252" s="22"/>
      <c r="L252" s="22"/>
      <c r="M252" s="23">
        <f t="shared" si="1"/>
        <v>90</v>
      </c>
      <c r="N252" s="24" t="str">
        <f t="shared" si="2"/>
        <v>惠华报价</v>
      </c>
      <c r="O252" s="22">
        <f t="shared" si="3"/>
        <v>1</v>
      </c>
    </row>
    <row r="253" ht="99.75" customHeight="1">
      <c r="A253" s="29" t="s">
        <v>366</v>
      </c>
      <c r="B253" s="29" t="s">
        <v>367</v>
      </c>
      <c r="C253" s="25"/>
      <c r="D253" s="26">
        <v>75.0</v>
      </c>
      <c r="E253" s="26"/>
      <c r="F253" s="26"/>
      <c r="G253" s="26"/>
      <c r="H253" s="26"/>
      <c r="I253" s="26"/>
      <c r="J253" s="26"/>
      <c r="K253" s="26"/>
      <c r="L253" s="26"/>
      <c r="M253" s="27">
        <f t="shared" si="1"/>
        <v>75</v>
      </c>
      <c r="N253" s="28" t="str">
        <f t="shared" si="2"/>
        <v>惠华报价</v>
      </c>
      <c r="O253" s="26">
        <f t="shared" si="3"/>
        <v>1</v>
      </c>
    </row>
    <row r="254" ht="71.25" customHeight="1">
      <c r="A254" s="30" t="s">
        <v>368</v>
      </c>
      <c r="B254" s="30" t="s">
        <v>369</v>
      </c>
      <c r="C254" s="21"/>
      <c r="D254" s="22">
        <v>78.0</v>
      </c>
      <c r="E254" s="22"/>
      <c r="F254" s="22"/>
      <c r="G254" s="22"/>
      <c r="H254" s="22"/>
      <c r="I254" s="22"/>
      <c r="J254" s="22"/>
      <c r="K254" s="22"/>
      <c r="L254" s="22"/>
      <c r="M254" s="23">
        <f t="shared" si="1"/>
        <v>78</v>
      </c>
      <c r="N254" s="24" t="str">
        <f t="shared" si="2"/>
        <v>惠华报价</v>
      </c>
      <c r="O254" s="22">
        <f t="shared" si="3"/>
        <v>1</v>
      </c>
    </row>
    <row r="255" ht="71.25" customHeight="1">
      <c r="A255" s="29" t="s">
        <v>370</v>
      </c>
      <c r="B255" s="29" t="s">
        <v>371</v>
      </c>
      <c r="C255" s="25"/>
      <c r="D255" s="26">
        <v>75.0</v>
      </c>
      <c r="E255" s="26"/>
      <c r="F255" s="26"/>
      <c r="G255" s="26"/>
      <c r="H255" s="26"/>
      <c r="I255" s="26"/>
      <c r="J255" s="26"/>
      <c r="K255" s="26"/>
      <c r="L255" s="26"/>
      <c r="M255" s="27">
        <f t="shared" si="1"/>
        <v>75</v>
      </c>
      <c r="N255" s="28" t="str">
        <f t="shared" si="2"/>
        <v>惠华报价</v>
      </c>
      <c r="O255" s="26">
        <f t="shared" si="3"/>
        <v>1</v>
      </c>
    </row>
    <row r="256" ht="42.75" customHeight="1">
      <c r="A256" s="30" t="s">
        <v>372</v>
      </c>
      <c r="B256" s="30" t="s">
        <v>373</v>
      </c>
      <c r="C256" s="21"/>
      <c r="D256" s="22">
        <v>74.0</v>
      </c>
      <c r="E256" s="22"/>
      <c r="F256" s="22"/>
      <c r="G256" s="22"/>
      <c r="H256" s="22"/>
      <c r="I256" s="22"/>
      <c r="J256" s="22"/>
      <c r="K256" s="22"/>
      <c r="L256" s="22"/>
      <c r="M256" s="23">
        <f t="shared" si="1"/>
        <v>74</v>
      </c>
      <c r="N256" s="24" t="str">
        <f t="shared" si="2"/>
        <v>惠华报价</v>
      </c>
      <c r="O256" s="22">
        <f t="shared" si="3"/>
        <v>1</v>
      </c>
    </row>
    <row r="257" ht="71.25" customHeight="1">
      <c r="A257" s="25" t="s">
        <v>374</v>
      </c>
      <c r="B257" s="25" t="s">
        <v>375</v>
      </c>
      <c r="C257" s="25"/>
      <c r="D257" s="26">
        <v>72.0</v>
      </c>
      <c r="E257" s="26"/>
      <c r="F257" s="26"/>
      <c r="G257" s="26"/>
      <c r="H257" s="26"/>
      <c r="I257" s="26"/>
      <c r="J257" s="26"/>
      <c r="K257" s="26"/>
      <c r="L257" s="26"/>
      <c r="M257" s="27">
        <f t="shared" si="1"/>
        <v>72</v>
      </c>
      <c r="N257" s="28" t="str">
        <f t="shared" si="2"/>
        <v>惠华报价</v>
      </c>
      <c r="O257" s="26">
        <f t="shared" si="3"/>
        <v>1</v>
      </c>
    </row>
    <row r="258" ht="57.0" customHeight="1">
      <c r="A258" s="30" t="s">
        <v>376</v>
      </c>
      <c r="B258" s="30" t="s">
        <v>377</v>
      </c>
      <c r="C258" s="21"/>
      <c r="D258" s="22">
        <v>95.0</v>
      </c>
      <c r="E258" s="22"/>
      <c r="F258" s="22"/>
      <c r="G258" s="22"/>
      <c r="H258" s="22"/>
      <c r="I258" s="22"/>
      <c r="J258" s="22"/>
      <c r="K258" s="22"/>
      <c r="L258" s="22"/>
      <c r="M258" s="23">
        <f t="shared" si="1"/>
        <v>95</v>
      </c>
      <c r="N258" s="24" t="str">
        <f t="shared" si="2"/>
        <v>惠华报价</v>
      </c>
      <c r="O258" s="22">
        <f t="shared" si="3"/>
        <v>1</v>
      </c>
    </row>
    <row r="259" ht="42.75" customHeight="1">
      <c r="A259" s="25" t="s">
        <v>378</v>
      </c>
      <c r="B259" s="29" t="s">
        <v>379</v>
      </c>
      <c r="C259" s="25"/>
      <c r="D259" s="26">
        <v>102.0</v>
      </c>
      <c r="E259" s="26"/>
      <c r="F259" s="26"/>
      <c r="G259" s="26"/>
      <c r="H259" s="26"/>
      <c r="I259" s="26"/>
      <c r="J259" s="26"/>
      <c r="K259" s="26"/>
      <c r="L259" s="26"/>
      <c r="M259" s="27">
        <f t="shared" si="1"/>
        <v>102</v>
      </c>
      <c r="N259" s="28" t="str">
        <f t="shared" si="2"/>
        <v>惠华报价</v>
      </c>
      <c r="O259" s="26">
        <f t="shared" si="3"/>
        <v>1</v>
      </c>
    </row>
    <row r="260" ht="15.75" customHeight="1">
      <c r="A260" s="30" t="s">
        <v>380</v>
      </c>
      <c r="B260" s="30" t="s">
        <v>381</v>
      </c>
      <c r="C260" s="21"/>
      <c r="D260" s="22">
        <v>102.0</v>
      </c>
      <c r="E260" s="22"/>
      <c r="F260" s="22"/>
      <c r="G260" s="22"/>
      <c r="H260" s="22"/>
      <c r="I260" s="22"/>
      <c r="J260" s="22"/>
      <c r="K260" s="22"/>
      <c r="L260" s="22"/>
      <c r="M260" s="23">
        <f t="shared" si="1"/>
        <v>102</v>
      </c>
      <c r="N260" s="24" t="str">
        <f t="shared" si="2"/>
        <v>惠华报价</v>
      </c>
      <c r="O260" s="22">
        <f t="shared" si="3"/>
        <v>1</v>
      </c>
    </row>
    <row r="261" ht="42.75" customHeight="1">
      <c r="A261" s="29" t="s">
        <v>382</v>
      </c>
      <c r="B261" s="29" t="s">
        <v>383</v>
      </c>
      <c r="C261" s="25"/>
      <c r="D261" s="26">
        <v>280.0</v>
      </c>
      <c r="E261" s="26"/>
      <c r="F261" s="26"/>
      <c r="G261" s="26"/>
      <c r="H261" s="26"/>
      <c r="I261" s="26"/>
      <c r="J261" s="26"/>
      <c r="K261" s="26"/>
      <c r="L261" s="26"/>
      <c r="M261" s="27">
        <f t="shared" si="1"/>
        <v>280</v>
      </c>
      <c r="N261" s="28" t="str">
        <f t="shared" si="2"/>
        <v>惠华报价</v>
      </c>
      <c r="O261" s="26">
        <f t="shared" si="3"/>
        <v>1</v>
      </c>
    </row>
    <row r="262" ht="28.5" customHeight="1">
      <c r="A262" s="30" t="s">
        <v>384</v>
      </c>
      <c r="B262" s="30" t="s">
        <v>385</v>
      </c>
      <c r="C262" s="21"/>
      <c r="D262" s="22">
        <v>95.0</v>
      </c>
      <c r="E262" s="22"/>
      <c r="F262" s="22"/>
      <c r="G262" s="22"/>
      <c r="H262" s="22"/>
      <c r="I262" s="22"/>
      <c r="J262" s="22"/>
      <c r="K262" s="22"/>
      <c r="L262" s="22"/>
      <c r="M262" s="23">
        <f t="shared" si="1"/>
        <v>95</v>
      </c>
      <c r="N262" s="24" t="str">
        <f t="shared" si="2"/>
        <v>惠华报价</v>
      </c>
      <c r="O262" s="22">
        <f t="shared" si="3"/>
        <v>1</v>
      </c>
    </row>
    <row r="263" ht="71.25" customHeight="1">
      <c r="A263" s="25" t="s">
        <v>386</v>
      </c>
      <c r="B263" s="25" t="s">
        <v>387</v>
      </c>
      <c r="C263" s="25"/>
      <c r="D263" s="26">
        <v>135.0</v>
      </c>
      <c r="E263" s="26"/>
      <c r="F263" s="26"/>
      <c r="G263" s="26"/>
      <c r="H263" s="26"/>
      <c r="I263" s="26"/>
      <c r="J263" s="26"/>
      <c r="K263" s="26"/>
      <c r="L263" s="26"/>
      <c r="M263" s="27">
        <f t="shared" si="1"/>
        <v>135</v>
      </c>
      <c r="N263" s="28" t="str">
        <f t="shared" si="2"/>
        <v>惠华报价</v>
      </c>
      <c r="O263" s="26">
        <f t="shared" si="3"/>
        <v>1</v>
      </c>
    </row>
    <row r="264" ht="42.75" customHeight="1">
      <c r="A264" s="21" t="s">
        <v>259</v>
      </c>
      <c r="B264" s="30" t="s">
        <v>388</v>
      </c>
      <c r="C264" s="21"/>
      <c r="D264" s="22">
        <v>130.0</v>
      </c>
      <c r="E264" s="22"/>
      <c r="F264" s="22"/>
      <c r="G264" s="22"/>
      <c r="H264" s="22"/>
      <c r="I264" s="22"/>
      <c r="J264" s="22"/>
      <c r="K264" s="22"/>
      <c r="L264" s="22"/>
      <c r="M264" s="23">
        <f t="shared" si="1"/>
        <v>130</v>
      </c>
      <c r="N264" s="24" t="str">
        <f t="shared" si="2"/>
        <v>惠华报价</v>
      </c>
      <c r="O264" s="22">
        <f t="shared" si="3"/>
        <v>1</v>
      </c>
    </row>
    <row r="265" ht="42.75" customHeight="1">
      <c r="A265" s="29" t="s">
        <v>389</v>
      </c>
      <c r="B265" s="29" t="s">
        <v>390</v>
      </c>
      <c r="C265" s="25"/>
      <c r="D265" s="26">
        <v>130.0</v>
      </c>
      <c r="E265" s="26"/>
      <c r="F265" s="26"/>
      <c r="G265" s="26"/>
      <c r="H265" s="26"/>
      <c r="I265" s="26"/>
      <c r="J265" s="26"/>
      <c r="K265" s="26"/>
      <c r="L265" s="26"/>
      <c r="M265" s="27">
        <f t="shared" si="1"/>
        <v>130</v>
      </c>
      <c r="N265" s="28" t="str">
        <f t="shared" si="2"/>
        <v>惠华报价</v>
      </c>
      <c r="O265" s="26">
        <f t="shared" si="3"/>
        <v>1</v>
      </c>
    </row>
    <row r="266" ht="28.5" customHeight="1">
      <c r="A266" s="21" t="s">
        <v>391</v>
      </c>
      <c r="B266" s="30" t="s">
        <v>392</v>
      </c>
      <c r="C266" s="21"/>
      <c r="D266" s="22">
        <v>195.0</v>
      </c>
      <c r="E266" s="22"/>
      <c r="F266" s="22"/>
      <c r="G266" s="22"/>
      <c r="H266" s="22"/>
      <c r="I266" s="22"/>
      <c r="J266" s="22"/>
      <c r="K266" s="22"/>
      <c r="L266" s="22"/>
      <c r="M266" s="23">
        <f t="shared" si="1"/>
        <v>195</v>
      </c>
      <c r="N266" s="24" t="str">
        <f t="shared" si="2"/>
        <v>惠华报价</v>
      </c>
      <c r="O266" s="22">
        <f t="shared" si="3"/>
        <v>1</v>
      </c>
    </row>
    <row r="267" ht="57.0" customHeight="1">
      <c r="A267" s="25" t="s">
        <v>393</v>
      </c>
      <c r="B267" s="29" t="s">
        <v>394</v>
      </c>
      <c r="C267" s="25"/>
      <c r="D267" s="26">
        <v>105.0</v>
      </c>
      <c r="E267" s="26"/>
      <c r="F267" s="26"/>
      <c r="G267" s="26"/>
      <c r="H267" s="26"/>
      <c r="I267" s="26"/>
      <c r="J267" s="26"/>
      <c r="K267" s="26"/>
      <c r="L267" s="26"/>
      <c r="M267" s="27">
        <f t="shared" si="1"/>
        <v>105</v>
      </c>
      <c r="N267" s="28" t="str">
        <f t="shared" si="2"/>
        <v>惠华报价</v>
      </c>
      <c r="O267" s="26">
        <f t="shared" si="3"/>
        <v>1</v>
      </c>
    </row>
    <row r="268" ht="57.0" customHeight="1">
      <c r="A268" s="30" t="s">
        <v>395</v>
      </c>
      <c r="B268" s="30" t="s">
        <v>396</v>
      </c>
      <c r="C268" s="21"/>
      <c r="D268" s="22">
        <v>110.0</v>
      </c>
      <c r="E268" s="22"/>
      <c r="F268" s="22"/>
      <c r="G268" s="22"/>
      <c r="H268" s="22"/>
      <c r="I268" s="22"/>
      <c r="J268" s="22"/>
      <c r="K268" s="22"/>
      <c r="L268" s="22"/>
      <c r="M268" s="23">
        <f t="shared" si="1"/>
        <v>110</v>
      </c>
      <c r="N268" s="24" t="str">
        <f t="shared" si="2"/>
        <v>惠华报价</v>
      </c>
      <c r="O268" s="22">
        <f t="shared" si="3"/>
        <v>1</v>
      </c>
    </row>
    <row r="269" ht="57.0" customHeight="1">
      <c r="A269" s="29" t="s">
        <v>397</v>
      </c>
      <c r="B269" s="29" t="s">
        <v>398</v>
      </c>
      <c r="C269" s="25"/>
      <c r="D269" s="26">
        <v>138.0</v>
      </c>
      <c r="E269" s="26"/>
      <c r="F269" s="26"/>
      <c r="G269" s="26"/>
      <c r="H269" s="26"/>
      <c r="I269" s="26"/>
      <c r="J269" s="26"/>
      <c r="K269" s="26"/>
      <c r="L269" s="26"/>
      <c r="M269" s="27">
        <f t="shared" si="1"/>
        <v>138</v>
      </c>
      <c r="N269" s="28" t="str">
        <f t="shared" si="2"/>
        <v>惠华报价</v>
      </c>
      <c r="O269" s="26">
        <f t="shared" si="3"/>
        <v>1</v>
      </c>
    </row>
    <row r="270" ht="71.25" customHeight="1">
      <c r="A270" s="30" t="s">
        <v>399</v>
      </c>
      <c r="B270" s="30" t="s">
        <v>400</v>
      </c>
      <c r="C270" s="21"/>
      <c r="D270" s="22">
        <v>165.0</v>
      </c>
      <c r="E270" s="22"/>
      <c r="F270" s="22"/>
      <c r="G270" s="22"/>
      <c r="H270" s="22"/>
      <c r="I270" s="22"/>
      <c r="J270" s="22"/>
      <c r="K270" s="22"/>
      <c r="L270" s="22"/>
      <c r="M270" s="23">
        <f t="shared" si="1"/>
        <v>165</v>
      </c>
      <c r="N270" s="24" t="str">
        <f t="shared" si="2"/>
        <v>惠华报价</v>
      </c>
      <c r="O270" s="22">
        <f t="shared" si="3"/>
        <v>1</v>
      </c>
    </row>
    <row r="271" ht="71.25" customHeight="1">
      <c r="A271" s="25" t="s">
        <v>401</v>
      </c>
      <c r="B271" s="29" t="s">
        <v>402</v>
      </c>
      <c r="C271" s="25"/>
      <c r="D271" s="26">
        <v>45.0</v>
      </c>
      <c r="E271" s="26"/>
      <c r="F271" s="26"/>
      <c r="G271" s="26"/>
      <c r="H271" s="26"/>
      <c r="I271" s="26"/>
      <c r="J271" s="26"/>
      <c r="K271" s="26"/>
      <c r="L271" s="26"/>
      <c r="M271" s="27">
        <f t="shared" si="1"/>
        <v>45</v>
      </c>
      <c r="N271" s="28" t="str">
        <f t="shared" si="2"/>
        <v>惠华报价</v>
      </c>
      <c r="O271" s="26">
        <f t="shared" si="3"/>
        <v>1</v>
      </c>
    </row>
    <row r="272" ht="42.75" customHeight="1">
      <c r="A272" s="21" t="s">
        <v>403</v>
      </c>
      <c r="B272" s="30" t="s">
        <v>404</v>
      </c>
      <c r="C272" s="21"/>
      <c r="D272" s="22">
        <v>45.0</v>
      </c>
      <c r="E272" s="22"/>
      <c r="F272" s="22"/>
      <c r="G272" s="22"/>
      <c r="H272" s="22"/>
      <c r="I272" s="22"/>
      <c r="J272" s="22"/>
      <c r="K272" s="22"/>
      <c r="L272" s="22"/>
      <c r="M272" s="23">
        <f t="shared" si="1"/>
        <v>45</v>
      </c>
      <c r="N272" s="24" t="str">
        <f t="shared" si="2"/>
        <v>惠华报价</v>
      </c>
      <c r="O272" s="22">
        <f t="shared" si="3"/>
        <v>1</v>
      </c>
    </row>
    <row r="273" ht="85.5" customHeight="1">
      <c r="A273" s="25" t="s">
        <v>405</v>
      </c>
      <c r="B273" s="25" t="s">
        <v>406</v>
      </c>
      <c r="C273" s="25"/>
      <c r="D273" s="26">
        <v>45.0</v>
      </c>
      <c r="E273" s="26"/>
      <c r="F273" s="26"/>
      <c r="G273" s="26"/>
      <c r="H273" s="26"/>
      <c r="I273" s="26"/>
      <c r="J273" s="26"/>
      <c r="K273" s="26"/>
      <c r="L273" s="26"/>
      <c r="M273" s="27">
        <f t="shared" si="1"/>
        <v>45</v>
      </c>
      <c r="N273" s="28" t="str">
        <f t="shared" si="2"/>
        <v>惠华报价</v>
      </c>
      <c r="O273" s="26">
        <f t="shared" si="3"/>
        <v>1</v>
      </c>
    </row>
    <row r="274" ht="57.0" customHeight="1">
      <c r="A274" s="21" t="s">
        <v>407</v>
      </c>
      <c r="B274" s="30" t="s">
        <v>408</v>
      </c>
      <c r="C274" s="21"/>
      <c r="D274" s="22">
        <v>46.0</v>
      </c>
      <c r="E274" s="22"/>
      <c r="F274" s="22"/>
      <c r="G274" s="22"/>
      <c r="H274" s="22"/>
      <c r="I274" s="22"/>
      <c r="J274" s="22"/>
      <c r="K274" s="22"/>
      <c r="L274" s="22"/>
      <c r="M274" s="23">
        <f t="shared" si="1"/>
        <v>46</v>
      </c>
      <c r="N274" s="24" t="str">
        <f t="shared" si="2"/>
        <v>惠华报价</v>
      </c>
      <c r="O274" s="22">
        <f t="shared" si="3"/>
        <v>1</v>
      </c>
    </row>
    <row r="275" ht="42.75" customHeight="1">
      <c r="A275" s="25" t="s">
        <v>409</v>
      </c>
      <c r="B275" s="29" t="s">
        <v>410</v>
      </c>
      <c r="C275" s="25"/>
      <c r="D275" s="26">
        <v>46.0</v>
      </c>
      <c r="E275" s="26"/>
      <c r="F275" s="26"/>
      <c r="G275" s="26"/>
      <c r="H275" s="26"/>
      <c r="I275" s="26"/>
      <c r="J275" s="26"/>
      <c r="K275" s="26"/>
      <c r="L275" s="26"/>
      <c r="M275" s="27">
        <f t="shared" si="1"/>
        <v>46</v>
      </c>
      <c r="N275" s="28" t="str">
        <f t="shared" si="2"/>
        <v>惠华报价</v>
      </c>
      <c r="O275" s="26">
        <f t="shared" si="3"/>
        <v>1</v>
      </c>
    </row>
    <row r="276" ht="15.75" customHeight="1">
      <c r="A276" s="21" t="s">
        <v>258</v>
      </c>
      <c r="B276" s="30" t="s">
        <v>411</v>
      </c>
      <c r="C276" s="21"/>
      <c r="D276" s="22">
        <v>46.0</v>
      </c>
      <c r="E276" s="22"/>
      <c r="F276" s="22"/>
      <c r="G276" s="22"/>
      <c r="H276" s="22"/>
      <c r="I276" s="22"/>
      <c r="J276" s="22"/>
      <c r="K276" s="22"/>
      <c r="L276" s="22"/>
      <c r="M276" s="23">
        <f t="shared" si="1"/>
        <v>46</v>
      </c>
      <c r="N276" s="24" t="str">
        <f t="shared" si="2"/>
        <v>惠华报价</v>
      </c>
      <c r="O276" s="22">
        <f t="shared" si="3"/>
        <v>1</v>
      </c>
    </row>
    <row r="277" ht="42.75" customHeight="1">
      <c r="A277" s="29" t="s">
        <v>412</v>
      </c>
      <c r="B277" s="29" t="s">
        <v>413</v>
      </c>
      <c r="C277" s="25"/>
      <c r="D277" s="26">
        <v>46.0</v>
      </c>
      <c r="E277" s="26"/>
      <c r="F277" s="26"/>
      <c r="G277" s="26"/>
      <c r="H277" s="26"/>
      <c r="I277" s="26"/>
      <c r="J277" s="26"/>
      <c r="K277" s="26"/>
      <c r="L277" s="26"/>
      <c r="M277" s="27">
        <f t="shared" si="1"/>
        <v>46</v>
      </c>
      <c r="N277" s="28" t="str">
        <f t="shared" si="2"/>
        <v>惠华报价</v>
      </c>
      <c r="O277" s="26">
        <f t="shared" si="3"/>
        <v>1</v>
      </c>
    </row>
    <row r="278" ht="42.75" customHeight="1">
      <c r="A278" s="21" t="s">
        <v>414</v>
      </c>
      <c r="B278" s="30" t="s">
        <v>415</v>
      </c>
      <c r="C278" s="21"/>
      <c r="D278" s="22">
        <v>255.0</v>
      </c>
      <c r="E278" s="22"/>
      <c r="F278" s="22"/>
      <c r="G278" s="22"/>
      <c r="H278" s="22"/>
      <c r="I278" s="22"/>
      <c r="J278" s="22"/>
      <c r="K278" s="22"/>
      <c r="L278" s="22"/>
      <c r="M278" s="23">
        <f t="shared" si="1"/>
        <v>255</v>
      </c>
      <c r="N278" s="24" t="str">
        <f t="shared" si="2"/>
        <v>惠华报价</v>
      </c>
      <c r="O278" s="22">
        <f t="shared" si="3"/>
        <v>1</v>
      </c>
    </row>
    <row r="279" ht="42.75" customHeight="1">
      <c r="A279" s="25" t="s">
        <v>416</v>
      </c>
      <c r="B279" s="29" t="s">
        <v>417</v>
      </c>
      <c r="C279" s="25"/>
      <c r="D279" s="26">
        <v>255.0</v>
      </c>
      <c r="E279" s="26"/>
      <c r="F279" s="26"/>
      <c r="G279" s="26"/>
      <c r="H279" s="26"/>
      <c r="I279" s="26"/>
      <c r="J279" s="26"/>
      <c r="K279" s="26"/>
      <c r="L279" s="26"/>
      <c r="M279" s="27">
        <f t="shared" si="1"/>
        <v>255</v>
      </c>
      <c r="N279" s="28" t="str">
        <f t="shared" si="2"/>
        <v>惠华报价</v>
      </c>
      <c r="O279" s="26">
        <f t="shared" si="3"/>
        <v>1</v>
      </c>
    </row>
    <row r="280" ht="42.75" customHeight="1">
      <c r="A280" s="21" t="s">
        <v>418</v>
      </c>
      <c r="B280" s="30" t="s">
        <v>419</v>
      </c>
      <c r="C280" s="21"/>
      <c r="D280" s="22">
        <v>255.0</v>
      </c>
      <c r="E280" s="22"/>
      <c r="F280" s="22"/>
      <c r="G280" s="22"/>
      <c r="H280" s="22"/>
      <c r="I280" s="22"/>
      <c r="J280" s="22"/>
      <c r="K280" s="22"/>
      <c r="L280" s="22"/>
      <c r="M280" s="23">
        <f t="shared" si="1"/>
        <v>255</v>
      </c>
      <c r="N280" s="24" t="str">
        <f t="shared" si="2"/>
        <v>惠华报价</v>
      </c>
      <c r="O280" s="22">
        <f t="shared" si="3"/>
        <v>1</v>
      </c>
    </row>
    <row r="281" ht="85.5" customHeight="1">
      <c r="A281" s="25" t="s">
        <v>420</v>
      </c>
      <c r="B281" s="29" t="s">
        <v>421</v>
      </c>
      <c r="C281" s="25"/>
      <c r="D281" s="26">
        <v>255.0</v>
      </c>
      <c r="E281" s="26"/>
      <c r="F281" s="26"/>
      <c r="G281" s="26"/>
      <c r="H281" s="26"/>
      <c r="I281" s="26"/>
      <c r="J281" s="26"/>
      <c r="K281" s="26"/>
      <c r="L281" s="26"/>
      <c r="M281" s="27">
        <f t="shared" si="1"/>
        <v>255</v>
      </c>
      <c r="N281" s="28" t="str">
        <f t="shared" si="2"/>
        <v>惠华报价</v>
      </c>
      <c r="O281" s="26">
        <f t="shared" si="3"/>
        <v>1</v>
      </c>
    </row>
    <row r="282" ht="57.0" customHeight="1">
      <c r="A282" s="21" t="s">
        <v>422</v>
      </c>
      <c r="B282" s="30" t="s">
        <v>423</v>
      </c>
      <c r="C282" s="21"/>
      <c r="D282" s="22">
        <v>255.0</v>
      </c>
      <c r="E282" s="22"/>
      <c r="F282" s="22"/>
      <c r="G282" s="22"/>
      <c r="H282" s="22"/>
      <c r="I282" s="22"/>
      <c r="J282" s="22"/>
      <c r="K282" s="22"/>
      <c r="L282" s="22"/>
      <c r="M282" s="23">
        <f t="shared" si="1"/>
        <v>255</v>
      </c>
      <c r="N282" s="24" t="str">
        <f t="shared" si="2"/>
        <v>惠华报价</v>
      </c>
      <c r="O282" s="22">
        <f t="shared" si="3"/>
        <v>1</v>
      </c>
    </row>
    <row r="283" ht="85.5" customHeight="1">
      <c r="A283" s="25" t="s">
        <v>424</v>
      </c>
      <c r="B283" s="29" t="s">
        <v>425</v>
      </c>
      <c r="C283" s="25"/>
      <c r="D283" s="26">
        <v>260.0</v>
      </c>
      <c r="E283" s="26"/>
      <c r="F283" s="26"/>
      <c r="G283" s="26"/>
      <c r="H283" s="26"/>
      <c r="I283" s="26"/>
      <c r="J283" s="26"/>
      <c r="K283" s="26"/>
      <c r="L283" s="26"/>
      <c r="M283" s="27">
        <f t="shared" si="1"/>
        <v>260</v>
      </c>
      <c r="N283" s="28" t="str">
        <f t="shared" si="2"/>
        <v>惠华报价</v>
      </c>
      <c r="O283" s="26">
        <f t="shared" si="3"/>
        <v>1</v>
      </c>
    </row>
    <row r="284" ht="71.25" customHeight="1">
      <c r="A284" s="30" t="s">
        <v>426</v>
      </c>
      <c r="B284" s="30" t="s">
        <v>427</v>
      </c>
      <c r="C284" s="21"/>
      <c r="D284" s="22">
        <v>255.0</v>
      </c>
      <c r="E284" s="22"/>
      <c r="F284" s="22"/>
      <c r="G284" s="22"/>
      <c r="H284" s="22"/>
      <c r="I284" s="22"/>
      <c r="J284" s="22"/>
      <c r="K284" s="22"/>
      <c r="L284" s="22"/>
      <c r="M284" s="23">
        <f t="shared" si="1"/>
        <v>255</v>
      </c>
      <c r="N284" s="24" t="str">
        <f t="shared" si="2"/>
        <v>惠华报价</v>
      </c>
      <c r="O284" s="22">
        <f t="shared" si="3"/>
        <v>1</v>
      </c>
    </row>
    <row r="285" ht="57.0" customHeight="1">
      <c r="A285" s="25">
        <v>9.6837743E7</v>
      </c>
      <c r="B285" s="29" t="s">
        <v>428</v>
      </c>
      <c r="C285" s="25"/>
      <c r="D285" s="26">
        <v>255.0</v>
      </c>
      <c r="E285" s="26"/>
      <c r="F285" s="26"/>
      <c r="G285" s="26"/>
      <c r="H285" s="26"/>
      <c r="I285" s="26"/>
      <c r="J285" s="26"/>
      <c r="K285" s="26"/>
      <c r="L285" s="26"/>
      <c r="M285" s="27">
        <f t="shared" si="1"/>
        <v>255</v>
      </c>
      <c r="N285" s="28" t="str">
        <f t="shared" si="2"/>
        <v>惠华报价</v>
      </c>
      <c r="O285" s="26">
        <f t="shared" si="3"/>
        <v>1</v>
      </c>
    </row>
    <row r="286" ht="71.25" customHeight="1">
      <c r="A286" s="21" t="s">
        <v>429</v>
      </c>
      <c r="B286" s="21" t="s">
        <v>430</v>
      </c>
      <c r="C286" s="21"/>
      <c r="D286" s="22">
        <v>130.0</v>
      </c>
      <c r="E286" s="22"/>
      <c r="F286" s="22"/>
      <c r="G286" s="22"/>
      <c r="H286" s="22"/>
      <c r="I286" s="22"/>
      <c r="J286" s="22"/>
      <c r="K286" s="22"/>
      <c r="L286" s="22"/>
      <c r="M286" s="23">
        <f t="shared" si="1"/>
        <v>130</v>
      </c>
      <c r="N286" s="24" t="str">
        <f t="shared" si="2"/>
        <v>惠华报价</v>
      </c>
      <c r="O286" s="22">
        <f t="shared" si="3"/>
        <v>1</v>
      </c>
    </row>
    <row r="287" ht="57.0" customHeight="1">
      <c r="A287" s="25" t="s">
        <v>431</v>
      </c>
      <c r="B287" s="29" t="s">
        <v>432</v>
      </c>
      <c r="C287" s="25"/>
      <c r="D287" s="26">
        <v>120.0</v>
      </c>
      <c r="E287" s="26"/>
      <c r="F287" s="26"/>
      <c r="G287" s="26"/>
      <c r="H287" s="26"/>
      <c r="I287" s="26"/>
      <c r="J287" s="26"/>
      <c r="K287" s="26"/>
      <c r="L287" s="26"/>
      <c r="M287" s="27">
        <f t="shared" si="1"/>
        <v>120</v>
      </c>
      <c r="N287" s="28" t="str">
        <f t="shared" si="2"/>
        <v>惠华报价</v>
      </c>
      <c r="O287" s="26">
        <f t="shared" si="3"/>
        <v>1</v>
      </c>
    </row>
    <row r="288" ht="28.5" customHeight="1">
      <c r="A288" s="21" t="s">
        <v>433</v>
      </c>
      <c r="B288" s="30" t="s">
        <v>434</v>
      </c>
      <c r="C288" s="21"/>
      <c r="D288" s="22">
        <v>120.0</v>
      </c>
      <c r="E288" s="22"/>
      <c r="F288" s="22"/>
      <c r="G288" s="22"/>
      <c r="H288" s="22"/>
      <c r="I288" s="22"/>
      <c r="J288" s="22"/>
      <c r="K288" s="22"/>
      <c r="L288" s="22"/>
      <c r="M288" s="23">
        <f t="shared" si="1"/>
        <v>120</v>
      </c>
      <c r="N288" s="24" t="str">
        <f t="shared" si="2"/>
        <v>惠华报价</v>
      </c>
      <c r="O288" s="22">
        <f t="shared" si="3"/>
        <v>1</v>
      </c>
    </row>
    <row r="289" ht="15.75" customHeight="1">
      <c r="A289" s="25" t="s">
        <v>435</v>
      </c>
      <c r="B289" s="29" t="s">
        <v>436</v>
      </c>
      <c r="C289" s="25"/>
      <c r="D289" s="26">
        <v>120.0</v>
      </c>
      <c r="E289" s="26"/>
      <c r="F289" s="26"/>
      <c r="G289" s="26"/>
      <c r="H289" s="26"/>
      <c r="I289" s="26"/>
      <c r="J289" s="26"/>
      <c r="K289" s="26"/>
      <c r="L289" s="26"/>
      <c r="M289" s="27">
        <f t="shared" si="1"/>
        <v>120</v>
      </c>
      <c r="N289" s="28" t="str">
        <f t="shared" si="2"/>
        <v>惠华报价</v>
      </c>
      <c r="O289" s="26">
        <f t="shared" si="3"/>
        <v>1</v>
      </c>
    </row>
    <row r="290" ht="42.75" customHeight="1">
      <c r="A290" s="21" t="s">
        <v>437</v>
      </c>
      <c r="B290" s="30" t="s">
        <v>438</v>
      </c>
      <c r="C290" s="21"/>
      <c r="D290" s="22">
        <v>120.0</v>
      </c>
      <c r="E290" s="22"/>
      <c r="F290" s="22"/>
      <c r="G290" s="22"/>
      <c r="H290" s="22"/>
      <c r="I290" s="22"/>
      <c r="J290" s="22"/>
      <c r="K290" s="22"/>
      <c r="L290" s="22"/>
      <c r="M290" s="23">
        <f t="shared" si="1"/>
        <v>120</v>
      </c>
      <c r="N290" s="24" t="str">
        <f t="shared" si="2"/>
        <v>惠华报价</v>
      </c>
      <c r="O290" s="22">
        <f t="shared" si="3"/>
        <v>1</v>
      </c>
    </row>
    <row r="291" ht="71.25" customHeight="1">
      <c r="A291" s="29" t="s">
        <v>439</v>
      </c>
      <c r="B291" s="29" t="s">
        <v>440</v>
      </c>
      <c r="C291" s="25"/>
      <c r="D291" s="26">
        <v>105.0</v>
      </c>
      <c r="E291" s="26"/>
      <c r="F291" s="26"/>
      <c r="G291" s="26"/>
      <c r="H291" s="26"/>
      <c r="I291" s="26"/>
      <c r="J291" s="26"/>
      <c r="K291" s="26"/>
      <c r="L291" s="26"/>
      <c r="M291" s="27">
        <f t="shared" si="1"/>
        <v>105</v>
      </c>
      <c r="N291" s="28" t="str">
        <f t="shared" si="2"/>
        <v>惠华报价</v>
      </c>
      <c r="O291" s="26">
        <f t="shared" si="3"/>
        <v>1</v>
      </c>
    </row>
    <row r="292" ht="71.25" customHeight="1">
      <c r="A292" s="30" t="s">
        <v>441</v>
      </c>
      <c r="B292" s="30" t="s">
        <v>442</v>
      </c>
      <c r="C292" s="21"/>
      <c r="D292" s="22">
        <v>205.0</v>
      </c>
      <c r="E292" s="22"/>
      <c r="F292" s="22"/>
      <c r="G292" s="22"/>
      <c r="H292" s="22"/>
      <c r="I292" s="22"/>
      <c r="J292" s="22"/>
      <c r="K292" s="22"/>
      <c r="L292" s="22"/>
      <c r="M292" s="23">
        <f t="shared" si="1"/>
        <v>205</v>
      </c>
      <c r="N292" s="24" t="str">
        <f t="shared" si="2"/>
        <v>惠华报价</v>
      </c>
      <c r="O292" s="22">
        <f t="shared" si="3"/>
        <v>1</v>
      </c>
    </row>
    <row r="293" ht="57.0" customHeight="1">
      <c r="A293" s="29" t="s">
        <v>443</v>
      </c>
      <c r="B293" s="29" t="s">
        <v>444</v>
      </c>
      <c r="C293" s="25"/>
      <c r="D293" s="26">
        <v>150.0</v>
      </c>
      <c r="E293" s="26"/>
      <c r="F293" s="26"/>
      <c r="G293" s="26"/>
      <c r="H293" s="26"/>
      <c r="I293" s="26"/>
      <c r="J293" s="26"/>
      <c r="K293" s="26"/>
      <c r="L293" s="26"/>
      <c r="M293" s="27">
        <f t="shared" si="1"/>
        <v>150</v>
      </c>
      <c r="N293" s="28" t="str">
        <f t="shared" si="2"/>
        <v>惠华报价</v>
      </c>
      <c r="O293" s="26">
        <f t="shared" si="3"/>
        <v>1</v>
      </c>
    </row>
    <row r="294" ht="71.25" customHeight="1">
      <c r="A294" s="21" t="s">
        <v>445</v>
      </c>
      <c r="B294" s="30" t="s">
        <v>446</v>
      </c>
      <c r="C294" s="21"/>
      <c r="D294" s="22">
        <v>130.0</v>
      </c>
      <c r="E294" s="22"/>
      <c r="F294" s="22"/>
      <c r="G294" s="22"/>
      <c r="H294" s="22"/>
      <c r="I294" s="22"/>
      <c r="J294" s="22"/>
      <c r="K294" s="22"/>
      <c r="L294" s="22"/>
      <c r="M294" s="23">
        <f t="shared" si="1"/>
        <v>130</v>
      </c>
      <c r="N294" s="24" t="str">
        <f t="shared" si="2"/>
        <v>惠华报价</v>
      </c>
      <c r="O294" s="22">
        <f t="shared" si="3"/>
        <v>1</v>
      </c>
    </row>
    <row r="295" ht="42.75" customHeight="1">
      <c r="A295" s="25" t="s">
        <v>447</v>
      </c>
      <c r="B295" s="29" t="s">
        <v>448</v>
      </c>
      <c r="C295" s="25"/>
      <c r="D295" s="26">
        <v>170.0</v>
      </c>
      <c r="E295" s="26"/>
      <c r="F295" s="26"/>
      <c r="G295" s="26"/>
      <c r="H295" s="26"/>
      <c r="I295" s="26"/>
      <c r="J295" s="26"/>
      <c r="K295" s="26"/>
      <c r="L295" s="26"/>
      <c r="M295" s="27">
        <f t="shared" si="1"/>
        <v>170</v>
      </c>
      <c r="N295" s="28" t="str">
        <f t="shared" si="2"/>
        <v>惠华报价</v>
      </c>
      <c r="O295" s="26">
        <f t="shared" si="3"/>
        <v>1</v>
      </c>
    </row>
    <row r="296" ht="57.0" customHeight="1">
      <c r="A296" s="21"/>
      <c r="B296" s="21" t="s">
        <v>449</v>
      </c>
      <c r="C296" s="21"/>
      <c r="D296" s="22">
        <v>220.0</v>
      </c>
      <c r="E296" s="22"/>
      <c r="F296" s="22"/>
      <c r="G296" s="22"/>
      <c r="H296" s="22"/>
      <c r="I296" s="22"/>
      <c r="J296" s="22"/>
      <c r="K296" s="22"/>
      <c r="L296" s="22"/>
      <c r="M296" s="23">
        <f t="shared" si="1"/>
        <v>220</v>
      </c>
      <c r="N296" s="24" t="str">
        <f t="shared" si="2"/>
        <v>惠华报价</v>
      </c>
      <c r="O296" s="22">
        <f t="shared" si="3"/>
        <v>1</v>
      </c>
    </row>
    <row r="297" ht="42.75" customHeight="1">
      <c r="A297" s="25"/>
      <c r="B297" s="25" t="s">
        <v>450</v>
      </c>
      <c r="C297" s="25"/>
      <c r="D297" s="26">
        <v>300.0</v>
      </c>
      <c r="E297" s="26"/>
      <c r="F297" s="26"/>
      <c r="G297" s="26"/>
      <c r="H297" s="26"/>
      <c r="I297" s="26"/>
      <c r="J297" s="26"/>
      <c r="K297" s="26"/>
      <c r="L297" s="26"/>
      <c r="M297" s="27">
        <f t="shared" si="1"/>
        <v>300</v>
      </c>
      <c r="N297" s="28" t="str">
        <f t="shared" si="2"/>
        <v>惠华报价</v>
      </c>
      <c r="O297" s="26">
        <f t="shared" si="3"/>
        <v>1</v>
      </c>
    </row>
    <row r="298" ht="28.5" customHeight="1">
      <c r="A298" s="21" t="s">
        <v>451</v>
      </c>
      <c r="B298" s="21" t="s">
        <v>452</v>
      </c>
      <c r="C298" s="21"/>
      <c r="D298" s="22">
        <v>260.0</v>
      </c>
      <c r="E298" s="22"/>
      <c r="F298" s="22"/>
      <c r="G298" s="22"/>
      <c r="H298" s="22"/>
      <c r="I298" s="22"/>
      <c r="J298" s="22"/>
      <c r="K298" s="22"/>
      <c r="L298" s="22"/>
      <c r="M298" s="23">
        <f t="shared" si="1"/>
        <v>260</v>
      </c>
      <c r="N298" s="24" t="str">
        <f t="shared" si="2"/>
        <v>惠华报价</v>
      </c>
      <c r="O298" s="22">
        <f t="shared" si="3"/>
        <v>1</v>
      </c>
    </row>
    <row r="299" ht="15.75" customHeight="1">
      <c r="A299" s="29" t="s">
        <v>453</v>
      </c>
      <c r="B299" s="29" t="s">
        <v>454</v>
      </c>
      <c r="C299" s="25"/>
      <c r="D299" s="26">
        <v>260.0</v>
      </c>
      <c r="E299" s="26"/>
      <c r="F299" s="26"/>
      <c r="G299" s="26"/>
      <c r="H299" s="26"/>
      <c r="I299" s="26"/>
      <c r="J299" s="26"/>
      <c r="K299" s="26"/>
      <c r="L299" s="26"/>
      <c r="M299" s="27">
        <f t="shared" si="1"/>
        <v>260</v>
      </c>
      <c r="N299" s="28" t="str">
        <f t="shared" si="2"/>
        <v>惠华报价</v>
      </c>
      <c r="O299" s="26">
        <f t="shared" si="3"/>
        <v>1</v>
      </c>
    </row>
    <row r="300" ht="15.75" customHeight="1">
      <c r="A300" s="30" t="s">
        <v>455</v>
      </c>
      <c r="B300" s="30" t="s">
        <v>456</v>
      </c>
      <c r="C300" s="21"/>
      <c r="D300" s="22">
        <v>110.0</v>
      </c>
      <c r="E300" s="22"/>
      <c r="F300" s="22"/>
      <c r="G300" s="22"/>
      <c r="H300" s="22"/>
      <c r="I300" s="22"/>
      <c r="J300" s="22"/>
      <c r="K300" s="22"/>
      <c r="L300" s="22"/>
      <c r="M300" s="23">
        <f t="shared" si="1"/>
        <v>110</v>
      </c>
      <c r="N300" s="24" t="str">
        <f t="shared" si="2"/>
        <v>惠华报价</v>
      </c>
      <c r="O300" s="22">
        <f t="shared" si="3"/>
        <v>1</v>
      </c>
    </row>
    <row r="301" ht="71.25" customHeight="1">
      <c r="A301" s="29" t="s">
        <v>457</v>
      </c>
      <c r="B301" s="29" t="s">
        <v>458</v>
      </c>
      <c r="C301" s="25"/>
      <c r="D301" s="26">
        <v>130.0</v>
      </c>
      <c r="E301" s="26"/>
      <c r="F301" s="26"/>
      <c r="G301" s="26"/>
      <c r="H301" s="26"/>
      <c r="I301" s="26"/>
      <c r="J301" s="26"/>
      <c r="K301" s="26"/>
      <c r="L301" s="26"/>
      <c r="M301" s="27">
        <f t="shared" si="1"/>
        <v>130</v>
      </c>
      <c r="N301" s="28" t="str">
        <f t="shared" si="2"/>
        <v>惠华报价</v>
      </c>
      <c r="O301" s="26">
        <f t="shared" si="3"/>
        <v>1</v>
      </c>
    </row>
    <row r="302" ht="71.25" customHeight="1">
      <c r="A302" s="30" t="s">
        <v>459</v>
      </c>
      <c r="B302" s="30" t="s">
        <v>460</v>
      </c>
      <c r="C302" s="21"/>
      <c r="D302" s="22">
        <v>120.0</v>
      </c>
      <c r="E302" s="22"/>
      <c r="F302" s="22"/>
      <c r="G302" s="22"/>
      <c r="H302" s="22"/>
      <c r="I302" s="22"/>
      <c r="J302" s="22"/>
      <c r="K302" s="22"/>
      <c r="L302" s="22"/>
      <c r="M302" s="23">
        <f t="shared" si="1"/>
        <v>120</v>
      </c>
      <c r="N302" s="24" t="str">
        <f t="shared" si="2"/>
        <v>惠华报价</v>
      </c>
      <c r="O302" s="22">
        <f t="shared" si="3"/>
        <v>1</v>
      </c>
    </row>
    <row r="303" ht="57.0" customHeight="1">
      <c r="A303" s="29" t="s">
        <v>461</v>
      </c>
      <c r="B303" s="29" t="s">
        <v>462</v>
      </c>
      <c r="C303" s="25"/>
      <c r="D303" s="26">
        <v>90.0</v>
      </c>
      <c r="E303" s="26"/>
      <c r="F303" s="26"/>
      <c r="G303" s="26"/>
      <c r="H303" s="26"/>
      <c r="I303" s="26"/>
      <c r="J303" s="26"/>
      <c r="K303" s="26"/>
      <c r="L303" s="26"/>
      <c r="M303" s="27">
        <f t="shared" si="1"/>
        <v>90</v>
      </c>
      <c r="N303" s="28" t="str">
        <f t="shared" si="2"/>
        <v>惠华报价</v>
      </c>
      <c r="O303" s="26">
        <f t="shared" si="3"/>
        <v>1</v>
      </c>
    </row>
    <row r="304" ht="71.25" customHeight="1">
      <c r="A304" s="30" t="s">
        <v>463</v>
      </c>
      <c r="B304" s="30" t="s">
        <v>464</v>
      </c>
      <c r="C304" s="21"/>
      <c r="D304" s="22">
        <v>95.0</v>
      </c>
      <c r="E304" s="22"/>
      <c r="F304" s="22"/>
      <c r="G304" s="22"/>
      <c r="H304" s="22"/>
      <c r="I304" s="22"/>
      <c r="J304" s="22"/>
      <c r="K304" s="22"/>
      <c r="L304" s="22"/>
      <c r="M304" s="23">
        <f t="shared" si="1"/>
        <v>95</v>
      </c>
      <c r="N304" s="24" t="str">
        <f t="shared" si="2"/>
        <v>惠华报价</v>
      </c>
      <c r="O304" s="22">
        <f t="shared" si="3"/>
        <v>1</v>
      </c>
    </row>
    <row r="305" ht="42.75" customHeight="1">
      <c r="A305" s="29" t="s">
        <v>465</v>
      </c>
      <c r="B305" s="25" t="s">
        <v>466</v>
      </c>
      <c r="C305" s="25"/>
      <c r="D305" s="26">
        <v>77.0</v>
      </c>
      <c r="E305" s="26"/>
      <c r="F305" s="26"/>
      <c r="G305" s="26"/>
      <c r="H305" s="26"/>
      <c r="I305" s="26"/>
      <c r="J305" s="26"/>
      <c r="K305" s="26"/>
      <c r="L305" s="26"/>
      <c r="M305" s="27">
        <f t="shared" si="1"/>
        <v>77</v>
      </c>
      <c r="N305" s="28" t="str">
        <f t="shared" si="2"/>
        <v>惠华报价</v>
      </c>
      <c r="O305" s="26">
        <f t="shared" si="3"/>
        <v>1</v>
      </c>
    </row>
    <row r="306" ht="28.5" customHeight="1">
      <c r="A306" s="30" t="s">
        <v>467</v>
      </c>
      <c r="B306" s="30" t="s">
        <v>468</v>
      </c>
      <c r="C306" s="21"/>
      <c r="D306" s="22">
        <v>77.0</v>
      </c>
      <c r="E306" s="22"/>
      <c r="F306" s="22"/>
      <c r="G306" s="22"/>
      <c r="H306" s="22"/>
      <c r="I306" s="22"/>
      <c r="J306" s="22"/>
      <c r="K306" s="22"/>
      <c r="L306" s="22"/>
      <c r="M306" s="23">
        <f t="shared" si="1"/>
        <v>77</v>
      </c>
      <c r="N306" s="24" t="str">
        <f t="shared" si="2"/>
        <v>惠华报价</v>
      </c>
      <c r="O306" s="22">
        <f t="shared" si="3"/>
        <v>1</v>
      </c>
    </row>
    <row r="307" ht="71.25" customHeight="1">
      <c r="A307" s="29" t="s">
        <v>469</v>
      </c>
      <c r="B307" s="29" t="s">
        <v>292</v>
      </c>
      <c r="C307" s="25"/>
      <c r="D307" s="26">
        <v>70.0</v>
      </c>
      <c r="E307" s="26"/>
      <c r="F307" s="26"/>
      <c r="G307" s="26"/>
      <c r="H307" s="26"/>
      <c r="I307" s="26"/>
      <c r="J307" s="26"/>
      <c r="K307" s="26"/>
      <c r="L307" s="26"/>
      <c r="M307" s="27">
        <f t="shared" si="1"/>
        <v>70</v>
      </c>
      <c r="N307" s="28" t="str">
        <f t="shared" si="2"/>
        <v>惠华报价</v>
      </c>
      <c r="O307" s="26">
        <f t="shared" si="3"/>
        <v>1</v>
      </c>
    </row>
    <row r="308" ht="71.25" customHeight="1">
      <c r="A308" s="21" t="s">
        <v>470</v>
      </c>
      <c r="B308" s="21" t="s">
        <v>471</v>
      </c>
      <c r="C308" s="21"/>
      <c r="D308" s="22">
        <v>70.0</v>
      </c>
      <c r="E308" s="22"/>
      <c r="F308" s="22"/>
      <c r="G308" s="22"/>
      <c r="H308" s="22"/>
      <c r="I308" s="22"/>
      <c r="J308" s="22"/>
      <c r="K308" s="22"/>
      <c r="L308" s="22"/>
      <c r="M308" s="23">
        <f t="shared" si="1"/>
        <v>70</v>
      </c>
      <c r="N308" s="24" t="str">
        <f t="shared" si="2"/>
        <v>惠华报价</v>
      </c>
      <c r="O308" s="22">
        <f t="shared" si="3"/>
        <v>1</v>
      </c>
    </row>
    <row r="309" ht="71.25" customHeight="1">
      <c r="A309" s="29" t="s">
        <v>295</v>
      </c>
      <c r="B309" s="29" t="s">
        <v>472</v>
      </c>
      <c r="C309" s="25"/>
      <c r="D309" s="26">
        <v>65.0</v>
      </c>
      <c r="E309" s="26"/>
      <c r="F309" s="26"/>
      <c r="G309" s="26"/>
      <c r="H309" s="26"/>
      <c r="I309" s="26"/>
      <c r="J309" s="26"/>
      <c r="K309" s="26"/>
      <c r="L309" s="26"/>
      <c r="M309" s="27">
        <f t="shared" si="1"/>
        <v>65</v>
      </c>
      <c r="N309" s="28" t="str">
        <f t="shared" si="2"/>
        <v>惠华报价</v>
      </c>
      <c r="O309" s="26">
        <f t="shared" si="3"/>
        <v>1</v>
      </c>
    </row>
    <row r="310" ht="71.25" customHeight="1">
      <c r="A310" s="30" t="s">
        <v>473</v>
      </c>
      <c r="B310" s="30" t="s">
        <v>474</v>
      </c>
      <c r="C310" s="21"/>
      <c r="D310" s="22">
        <v>130.0</v>
      </c>
      <c r="E310" s="22"/>
      <c r="F310" s="22"/>
      <c r="G310" s="22"/>
      <c r="H310" s="22"/>
      <c r="I310" s="22"/>
      <c r="J310" s="22"/>
      <c r="K310" s="22"/>
      <c r="L310" s="22"/>
      <c r="M310" s="23">
        <f t="shared" si="1"/>
        <v>130</v>
      </c>
      <c r="N310" s="24" t="str">
        <f t="shared" si="2"/>
        <v>惠华报价</v>
      </c>
      <c r="O310" s="22">
        <f t="shared" si="3"/>
        <v>1</v>
      </c>
    </row>
    <row r="311" ht="57.0" customHeight="1">
      <c r="A311" s="29" t="s">
        <v>475</v>
      </c>
      <c r="B311" s="29" t="s">
        <v>476</v>
      </c>
      <c r="C311" s="25"/>
      <c r="D311" s="26">
        <v>130.0</v>
      </c>
      <c r="E311" s="26"/>
      <c r="F311" s="26"/>
      <c r="G311" s="26"/>
      <c r="H311" s="26"/>
      <c r="I311" s="26"/>
      <c r="J311" s="26"/>
      <c r="K311" s="26"/>
      <c r="L311" s="26"/>
      <c r="M311" s="27">
        <f t="shared" si="1"/>
        <v>130</v>
      </c>
      <c r="N311" s="28" t="str">
        <f t="shared" si="2"/>
        <v>惠华报价</v>
      </c>
      <c r="O311" s="26">
        <f t="shared" si="3"/>
        <v>1</v>
      </c>
    </row>
    <row r="312" ht="15.75" customHeight="1">
      <c r="A312" s="30" t="s">
        <v>477</v>
      </c>
      <c r="B312" s="30" t="s">
        <v>478</v>
      </c>
      <c r="C312" s="21"/>
      <c r="D312" s="22">
        <v>120.0</v>
      </c>
      <c r="E312" s="22"/>
      <c r="F312" s="22"/>
      <c r="G312" s="22"/>
      <c r="H312" s="22"/>
      <c r="I312" s="22"/>
      <c r="J312" s="22"/>
      <c r="K312" s="22"/>
      <c r="L312" s="22"/>
      <c r="M312" s="23">
        <f t="shared" si="1"/>
        <v>120</v>
      </c>
      <c r="N312" s="24" t="str">
        <f t="shared" si="2"/>
        <v>惠华报价</v>
      </c>
      <c r="O312" s="22">
        <f t="shared" si="3"/>
        <v>1</v>
      </c>
    </row>
    <row r="313" ht="71.25" customHeight="1">
      <c r="A313" s="29" t="s">
        <v>479</v>
      </c>
      <c r="B313" s="29" t="s">
        <v>480</v>
      </c>
      <c r="C313" s="25"/>
      <c r="D313" s="26">
        <v>88.0</v>
      </c>
      <c r="E313" s="26"/>
      <c r="F313" s="26"/>
      <c r="G313" s="26"/>
      <c r="H313" s="26"/>
      <c r="I313" s="26"/>
      <c r="J313" s="26"/>
      <c r="K313" s="26"/>
      <c r="L313" s="26"/>
      <c r="M313" s="27">
        <f t="shared" si="1"/>
        <v>88</v>
      </c>
      <c r="N313" s="28" t="str">
        <f t="shared" si="2"/>
        <v>惠华报价</v>
      </c>
      <c r="O313" s="26">
        <f t="shared" si="3"/>
        <v>1</v>
      </c>
    </row>
    <row r="314" ht="42.75" customHeight="1">
      <c r="A314" s="30" t="s">
        <v>481</v>
      </c>
      <c r="B314" s="21" t="s">
        <v>482</v>
      </c>
      <c r="C314" s="21"/>
      <c r="D314" s="22">
        <v>135.0</v>
      </c>
      <c r="E314" s="22"/>
      <c r="F314" s="22"/>
      <c r="G314" s="22"/>
      <c r="H314" s="22"/>
      <c r="I314" s="22"/>
      <c r="J314" s="22"/>
      <c r="K314" s="22"/>
      <c r="L314" s="22"/>
      <c r="M314" s="23">
        <f t="shared" si="1"/>
        <v>135</v>
      </c>
      <c r="N314" s="24" t="str">
        <f t="shared" si="2"/>
        <v>惠华报价</v>
      </c>
      <c r="O314" s="22">
        <f t="shared" si="3"/>
        <v>1</v>
      </c>
    </row>
    <row r="315" ht="42.75" customHeight="1">
      <c r="A315" s="29" t="s">
        <v>483</v>
      </c>
      <c r="B315" s="25" t="s">
        <v>484</v>
      </c>
      <c r="C315" s="25"/>
      <c r="D315" s="26">
        <v>155.0</v>
      </c>
      <c r="E315" s="26"/>
      <c r="F315" s="26"/>
      <c r="G315" s="26"/>
      <c r="H315" s="26"/>
      <c r="I315" s="26"/>
      <c r="J315" s="26"/>
      <c r="K315" s="26"/>
      <c r="L315" s="26"/>
      <c r="M315" s="27">
        <f t="shared" si="1"/>
        <v>155</v>
      </c>
      <c r="N315" s="28" t="str">
        <f t="shared" si="2"/>
        <v>惠华报价</v>
      </c>
      <c r="O315" s="26">
        <f t="shared" si="3"/>
        <v>1</v>
      </c>
    </row>
    <row r="316" ht="57.0" customHeight="1">
      <c r="A316" s="30" t="s">
        <v>485</v>
      </c>
      <c r="B316" s="30" t="s">
        <v>486</v>
      </c>
      <c r="C316" s="21"/>
      <c r="D316" s="22">
        <v>95.0</v>
      </c>
      <c r="E316" s="22"/>
      <c r="F316" s="22"/>
      <c r="G316" s="22"/>
      <c r="H316" s="22"/>
      <c r="I316" s="22"/>
      <c r="J316" s="22"/>
      <c r="K316" s="22"/>
      <c r="L316" s="22"/>
      <c r="M316" s="23">
        <f t="shared" si="1"/>
        <v>95</v>
      </c>
      <c r="N316" s="24" t="str">
        <f t="shared" si="2"/>
        <v>惠华报价</v>
      </c>
      <c r="O316" s="22">
        <f t="shared" si="3"/>
        <v>1</v>
      </c>
    </row>
    <row r="317" ht="71.25" customHeight="1">
      <c r="A317" s="25" t="s">
        <v>263</v>
      </c>
      <c r="B317" s="29" t="s">
        <v>487</v>
      </c>
      <c r="C317" s="25"/>
      <c r="D317" s="26">
        <v>90.0</v>
      </c>
      <c r="E317" s="26"/>
      <c r="F317" s="26"/>
      <c r="G317" s="26"/>
      <c r="H317" s="26"/>
      <c r="I317" s="26"/>
      <c r="J317" s="26"/>
      <c r="K317" s="26"/>
      <c r="L317" s="26"/>
      <c r="M317" s="27">
        <f t="shared" si="1"/>
        <v>90</v>
      </c>
      <c r="N317" s="28" t="str">
        <f t="shared" si="2"/>
        <v>惠华报价</v>
      </c>
      <c r="O317" s="26">
        <f t="shared" si="3"/>
        <v>1</v>
      </c>
    </row>
    <row r="318" ht="42.75" customHeight="1">
      <c r="A318" s="30" t="s">
        <v>488</v>
      </c>
      <c r="B318" s="30" t="s">
        <v>489</v>
      </c>
      <c r="C318" s="21"/>
      <c r="D318" s="22">
        <v>90.0</v>
      </c>
      <c r="E318" s="22"/>
      <c r="F318" s="22"/>
      <c r="G318" s="22"/>
      <c r="H318" s="22"/>
      <c r="I318" s="22"/>
      <c r="J318" s="22"/>
      <c r="K318" s="22"/>
      <c r="L318" s="22"/>
      <c r="M318" s="23">
        <f t="shared" si="1"/>
        <v>90</v>
      </c>
      <c r="N318" s="24" t="str">
        <f t="shared" si="2"/>
        <v>惠华报价</v>
      </c>
      <c r="O318" s="22">
        <f t="shared" si="3"/>
        <v>1</v>
      </c>
    </row>
    <row r="319" ht="28.5" customHeight="1">
      <c r="A319" s="29" t="s">
        <v>265</v>
      </c>
      <c r="B319" s="29" t="s">
        <v>490</v>
      </c>
      <c r="C319" s="25"/>
      <c r="D319" s="26">
        <v>90.0</v>
      </c>
      <c r="E319" s="26"/>
      <c r="F319" s="26"/>
      <c r="G319" s="26"/>
      <c r="H319" s="26"/>
      <c r="I319" s="26"/>
      <c r="J319" s="26"/>
      <c r="K319" s="26"/>
      <c r="L319" s="26"/>
      <c r="M319" s="27">
        <f t="shared" si="1"/>
        <v>90</v>
      </c>
      <c r="N319" s="28" t="str">
        <f t="shared" si="2"/>
        <v>惠华报价</v>
      </c>
      <c r="O319" s="26">
        <f t="shared" si="3"/>
        <v>1</v>
      </c>
    </row>
    <row r="320" ht="71.25" customHeight="1">
      <c r="A320" s="21" t="s">
        <v>491</v>
      </c>
      <c r="B320" s="21" t="s">
        <v>492</v>
      </c>
      <c r="C320" s="21"/>
      <c r="D320" s="22">
        <v>90.0</v>
      </c>
      <c r="E320" s="22"/>
      <c r="F320" s="22"/>
      <c r="G320" s="22"/>
      <c r="H320" s="22"/>
      <c r="I320" s="22"/>
      <c r="J320" s="22"/>
      <c r="K320" s="22"/>
      <c r="L320" s="22"/>
      <c r="M320" s="23">
        <f t="shared" si="1"/>
        <v>90</v>
      </c>
      <c r="N320" s="24" t="str">
        <f t="shared" si="2"/>
        <v>惠华报价</v>
      </c>
      <c r="O320" s="22">
        <f t="shared" si="3"/>
        <v>1</v>
      </c>
    </row>
    <row r="321" ht="85.5" customHeight="1">
      <c r="A321" s="29" t="s">
        <v>493</v>
      </c>
      <c r="B321" s="29" t="s">
        <v>494</v>
      </c>
      <c r="C321" s="25"/>
      <c r="D321" s="26">
        <v>195.0</v>
      </c>
      <c r="E321" s="26"/>
      <c r="F321" s="26"/>
      <c r="G321" s="26"/>
      <c r="H321" s="26"/>
      <c r="I321" s="26"/>
      <c r="J321" s="26"/>
      <c r="K321" s="26"/>
      <c r="L321" s="26"/>
      <c r="M321" s="27">
        <f t="shared" si="1"/>
        <v>195</v>
      </c>
      <c r="N321" s="28" t="str">
        <f t="shared" si="2"/>
        <v>惠华报价</v>
      </c>
      <c r="O321" s="26">
        <f t="shared" si="3"/>
        <v>1</v>
      </c>
    </row>
    <row r="322" ht="57.0" customHeight="1">
      <c r="A322" s="30" t="s">
        <v>495</v>
      </c>
      <c r="B322" s="30" t="s">
        <v>496</v>
      </c>
      <c r="C322" s="21"/>
      <c r="D322" s="22">
        <v>220.0</v>
      </c>
      <c r="E322" s="22"/>
      <c r="F322" s="22"/>
      <c r="G322" s="22"/>
      <c r="H322" s="22"/>
      <c r="I322" s="22"/>
      <c r="J322" s="22"/>
      <c r="K322" s="22"/>
      <c r="L322" s="22"/>
      <c r="M322" s="23">
        <f t="shared" si="1"/>
        <v>220</v>
      </c>
      <c r="N322" s="24" t="str">
        <f t="shared" si="2"/>
        <v>惠华报价</v>
      </c>
      <c r="O322" s="22">
        <f t="shared" si="3"/>
        <v>1</v>
      </c>
    </row>
    <row r="323" ht="57.0" customHeight="1">
      <c r="A323" s="29" t="s">
        <v>497</v>
      </c>
      <c r="B323" s="25" t="s">
        <v>498</v>
      </c>
      <c r="C323" s="25"/>
      <c r="D323" s="26">
        <v>195.0</v>
      </c>
      <c r="E323" s="26"/>
      <c r="F323" s="26"/>
      <c r="G323" s="26"/>
      <c r="H323" s="26"/>
      <c r="I323" s="26"/>
      <c r="J323" s="26"/>
      <c r="K323" s="26"/>
      <c r="L323" s="26"/>
      <c r="M323" s="27">
        <f t="shared" si="1"/>
        <v>195</v>
      </c>
      <c r="N323" s="28" t="str">
        <f t="shared" si="2"/>
        <v>惠华报价</v>
      </c>
      <c r="O323" s="26">
        <f t="shared" si="3"/>
        <v>1</v>
      </c>
    </row>
    <row r="324" ht="71.25" customHeight="1">
      <c r="A324" s="21" t="s">
        <v>499</v>
      </c>
      <c r="B324" s="30" t="s">
        <v>500</v>
      </c>
      <c r="C324" s="21"/>
      <c r="D324" s="22">
        <v>195.0</v>
      </c>
      <c r="E324" s="22"/>
      <c r="F324" s="22"/>
      <c r="G324" s="22"/>
      <c r="H324" s="22"/>
      <c r="I324" s="22"/>
      <c r="J324" s="22"/>
      <c r="K324" s="22"/>
      <c r="L324" s="22"/>
      <c r="M324" s="23">
        <f t="shared" si="1"/>
        <v>195</v>
      </c>
      <c r="N324" s="24" t="str">
        <f t="shared" si="2"/>
        <v>惠华报价</v>
      </c>
      <c r="O324" s="22">
        <f t="shared" si="3"/>
        <v>1</v>
      </c>
    </row>
    <row r="325" ht="57.0" customHeight="1">
      <c r="A325" s="25" t="s">
        <v>501</v>
      </c>
      <c r="B325" s="25" t="s">
        <v>502</v>
      </c>
      <c r="C325" s="25"/>
      <c r="D325" s="26">
        <v>195.0</v>
      </c>
      <c r="E325" s="26"/>
      <c r="F325" s="26"/>
      <c r="G325" s="26"/>
      <c r="H325" s="26"/>
      <c r="I325" s="26"/>
      <c r="J325" s="26"/>
      <c r="K325" s="26"/>
      <c r="L325" s="26"/>
      <c r="M325" s="27">
        <f t="shared" si="1"/>
        <v>195</v>
      </c>
      <c r="N325" s="28" t="str">
        <f t="shared" si="2"/>
        <v>惠华报价</v>
      </c>
      <c r="O325" s="26">
        <f t="shared" si="3"/>
        <v>1</v>
      </c>
    </row>
    <row r="326" ht="71.25" customHeight="1">
      <c r="A326" s="21" t="s">
        <v>503</v>
      </c>
      <c r="B326" s="30" t="s">
        <v>504</v>
      </c>
      <c r="C326" s="21"/>
      <c r="D326" s="22">
        <v>130.0</v>
      </c>
      <c r="E326" s="22"/>
      <c r="F326" s="22"/>
      <c r="G326" s="22"/>
      <c r="H326" s="22"/>
      <c r="I326" s="22"/>
      <c r="J326" s="22"/>
      <c r="K326" s="22"/>
      <c r="L326" s="22"/>
      <c r="M326" s="23">
        <f t="shared" si="1"/>
        <v>130</v>
      </c>
      <c r="N326" s="24" t="str">
        <f t="shared" si="2"/>
        <v>惠华报价</v>
      </c>
      <c r="O326" s="22">
        <f t="shared" si="3"/>
        <v>1</v>
      </c>
    </row>
    <row r="327" ht="28.5" customHeight="1">
      <c r="A327" s="25" t="s">
        <v>505</v>
      </c>
      <c r="B327" s="25" t="s">
        <v>506</v>
      </c>
      <c r="C327" s="25"/>
      <c r="D327" s="26">
        <v>130.0</v>
      </c>
      <c r="E327" s="26"/>
      <c r="F327" s="26"/>
      <c r="G327" s="26"/>
      <c r="H327" s="26"/>
      <c r="I327" s="26"/>
      <c r="J327" s="26"/>
      <c r="K327" s="26"/>
      <c r="L327" s="26"/>
      <c r="M327" s="27">
        <f t="shared" si="1"/>
        <v>130</v>
      </c>
      <c r="N327" s="28" t="str">
        <f t="shared" si="2"/>
        <v>惠华报价</v>
      </c>
      <c r="O327" s="26">
        <f t="shared" si="3"/>
        <v>1</v>
      </c>
    </row>
    <row r="328" ht="57.0" customHeight="1">
      <c r="A328" s="30" t="s">
        <v>507</v>
      </c>
      <c r="B328" s="30" t="s">
        <v>508</v>
      </c>
      <c r="C328" s="21"/>
      <c r="D328" s="22">
        <v>130.0</v>
      </c>
      <c r="E328" s="22"/>
      <c r="F328" s="22"/>
      <c r="G328" s="22"/>
      <c r="H328" s="22"/>
      <c r="I328" s="22"/>
      <c r="J328" s="22"/>
      <c r="K328" s="22"/>
      <c r="L328" s="22"/>
      <c r="M328" s="23">
        <f t="shared" si="1"/>
        <v>130</v>
      </c>
      <c r="N328" s="24" t="str">
        <f t="shared" si="2"/>
        <v>惠华报价</v>
      </c>
      <c r="O328" s="22">
        <f t="shared" si="3"/>
        <v>1</v>
      </c>
    </row>
    <row r="329" ht="15.75" customHeight="1">
      <c r="A329" s="29" t="s">
        <v>509</v>
      </c>
      <c r="B329" s="29" t="s">
        <v>510</v>
      </c>
      <c r="C329" s="25"/>
      <c r="D329" s="26">
        <v>110.0</v>
      </c>
      <c r="E329" s="26"/>
      <c r="F329" s="26"/>
      <c r="G329" s="26"/>
      <c r="H329" s="26"/>
      <c r="I329" s="26"/>
      <c r="J329" s="26"/>
      <c r="K329" s="26"/>
      <c r="L329" s="26"/>
      <c r="M329" s="27">
        <f t="shared" si="1"/>
        <v>110</v>
      </c>
      <c r="N329" s="28" t="str">
        <f t="shared" si="2"/>
        <v>惠华报价</v>
      </c>
      <c r="O329" s="26">
        <f t="shared" si="3"/>
        <v>1</v>
      </c>
    </row>
    <row r="330" ht="71.25" customHeight="1">
      <c r="A330" s="30" t="s">
        <v>511</v>
      </c>
      <c r="B330" s="21" t="s">
        <v>512</v>
      </c>
      <c r="C330" s="21"/>
      <c r="D330" s="22">
        <v>120.0</v>
      </c>
      <c r="E330" s="22"/>
      <c r="F330" s="22"/>
      <c r="G330" s="22"/>
      <c r="H330" s="22"/>
      <c r="I330" s="22"/>
      <c r="J330" s="22"/>
      <c r="K330" s="22"/>
      <c r="L330" s="22"/>
      <c r="M330" s="23">
        <f t="shared" si="1"/>
        <v>120</v>
      </c>
      <c r="N330" s="24" t="str">
        <f t="shared" si="2"/>
        <v>惠华报价</v>
      </c>
      <c r="O330" s="22">
        <f t="shared" si="3"/>
        <v>1</v>
      </c>
    </row>
    <row r="331" ht="42.75" customHeight="1">
      <c r="A331" s="25" t="s">
        <v>513</v>
      </c>
      <c r="B331" s="25" t="s">
        <v>514</v>
      </c>
      <c r="C331" s="25"/>
      <c r="D331" s="26">
        <v>155.0</v>
      </c>
      <c r="E331" s="26"/>
      <c r="F331" s="26"/>
      <c r="G331" s="26"/>
      <c r="H331" s="26"/>
      <c r="I331" s="26"/>
      <c r="J331" s="26"/>
      <c r="K331" s="26"/>
      <c r="L331" s="26"/>
      <c r="M331" s="27">
        <f t="shared" si="1"/>
        <v>155</v>
      </c>
      <c r="N331" s="28" t="str">
        <f t="shared" si="2"/>
        <v>惠华报价</v>
      </c>
      <c r="O331" s="26">
        <f t="shared" si="3"/>
        <v>1</v>
      </c>
    </row>
    <row r="332" ht="28.5" customHeight="1">
      <c r="A332" s="21" t="s">
        <v>515</v>
      </c>
      <c r="B332" s="30" t="s">
        <v>516</v>
      </c>
      <c r="C332" s="21"/>
      <c r="D332" s="22">
        <v>220.0</v>
      </c>
      <c r="E332" s="22"/>
      <c r="F332" s="22"/>
      <c r="G332" s="22"/>
      <c r="H332" s="22"/>
      <c r="I332" s="22"/>
      <c r="J332" s="22"/>
      <c r="K332" s="22"/>
      <c r="L332" s="22"/>
      <c r="M332" s="23">
        <f t="shared" si="1"/>
        <v>220</v>
      </c>
      <c r="N332" s="24" t="str">
        <f t="shared" si="2"/>
        <v>惠华报价</v>
      </c>
      <c r="O332" s="22">
        <f t="shared" si="3"/>
        <v>1</v>
      </c>
    </row>
    <row r="333" ht="42.75" customHeight="1">
      <c r="A333" s="25" t="s">
        <v>517</v>
      </c>
      <c r="B333" s="29" t="s">
        <v>518</v>
      </c>
      <c r="C333" s="25"/>
      <c r="D333" s="26">
        <v>220.0</v>
      </c>
      <c r="E333" s="26"/>
      <c r="F333" s="26"/>
      <c r="G333" s="26"/>
      <c r="H333" s="26"/>
      <c r="I333" s="26"/>
      <c r="J333" s="26"/>
      <c r="K333" s="26"/>
      <c r="L333" s="26"/>
      <c r="M333" s="27">
        <f t="shared" si="1"/>
        <v>220</v>
      </c>
      <c r="N333" s="28" t="str">
        <f t="shared" si="2"/>
        <v>惠华报价</v>
      </c>
      <c r="O333" s="26">
        <f t="shared" si="3"/>
        <v>1</v>
      </c>
    </row>
    <row r="334" ht="71.25" customHeight="1">
      <c r="A334" s="30" t="s">
        <v>519</v>
      </c>
      <c r="B334" s="30" t="s">
        <v>520</v>
      </c>
      <c r="C334" s="21"/>
      <c r="D334" s="22">
        <v>98.0</v>
      </c>
      <c r="E334" s="22"/>
      <c r="F334" s="22"/>
      <c r="G334" s="22"/>
      <c r="H334" s="22"/>
      <c r="I334" s="22"/>
      <c r="J334" s="22"/>
      <c r="K334" s="22"/>
      <c r="L334" s="22"/>
      <c r="M334" s="23">
        <f t="shared" si="1"/>
        <v>98</v>
      </c>
      <c r="N334" s="24" t="str">
        <f t="shared" si="2"/>
        <v>惠华报价</v>
      </c>
      <c r="O334" s="22">
        <f t="shared" si="3"/>
        <v>1</v>
      </c>
    </row>
    <row r="335" ht="15.75" customHeight="1">
      <c r="A335" s="25" t="s">
        <v>521</v>
      </c>
      <c r="B335" s="29" t="s">
        <v>522</v>
      </c>
      <c r="C335" s="25"/>
      <c r="D335" s="26">
        <v>98.0</v>
      </c>
      <c r="E335" s="26"/>
      <c r="F335" s="26"/>
      <c r="G335" s="26"/>
      <c r="H335" s="26"/>
      <c r="I335" s="26"/>
      <c r="J335" s="26"/>
      <c r="K335" s="26"/>
      <c r="L335" s="26"/>
      <c r="M335" s="27">
        <f t="shared" si="1"/>
        <v>98</v>
      </c>
      <c r="N335" s="28" t="str">
        <f t="shared" si="2"/>
        <v>惠华报价</v>
      </c>
      <c r="O335" s="26">
        <f t="shared" si="3"/>
        <v>1</v>
      </c>
    </row>
    <row r="336" ht="71.25" customHeight="1">
      <c r="A336" s="30" t="s">
        <v>523</v>
      </c>
      <c r="B336" s="30" t="s">
        <v>524</v>
      </c>
      <c r="C336" s="21"/>
      <c r="D336" s="22">
        <v>150.0</v>
      </c>
      <c r="E336" s="22"/>
      <c r="F336" s="22"/>
      <c r="G336" s="22"/>
      <c r="H336" s="22"/>
      <c r="I336" s="22"/>
      <c r="J336" s="22"/>
      <c r="K336" s="22"/>
      <c r="L336" s="22"/>
      <c r="M336" s="23">
        <f t="shared" si="1"/>
        <v>150</v>
      </c>
      <c r="N336" s="24" t="str">
        <f t="shared" si="2"/>
        <v>惠华报价</v>
      </c>
      <c r="O336" s="22">
        <f t="shared" si="3"/>
        <v>1</v>
      </c>
    </row>
    <row r="337" ht="57.0" customHeight="1">
      <c r="A337" s="29" t="s">
        <v>525</v>
      </c>
      <c r="B337" s="29" t="s">
        <v>526</v>
      </c>
      <c r="C337" s="25"/>
      <c r="D337" s="26">
        <v>70.0</v>
      </c>
      <c r="E337" s="26"/>
      <c r="F337" s="26"/>
      <c r="G337" s="26"/>
      <c r="H337" s="26"/>
      <c r="I337" s="26"/>
      <c r="J337" s="26"/>
      <c r="K337" s="26"/>
      <c r="L337" s="26"/>
      <c r="M337" s="27">
        <f t="shared" si="1"/>
        <v>70</v>
      </c>
      <c r="N337" s="28" t="str">
        <f t="shared" si="2"/>
        <v>惠华报价</v>
      </c>
      <c r="O337" s="26">
        <f t="shared" si="3"/>
        <v>1</v>
      </c>
    </row>
    <row r="338" ht="71.25" customHeight="1">
      <c r="A338" s="30" t="s">
        <v>527</v>
      </c>
      <c r="B338" s="30" t="s">
        <v>528</v>
      </c>
      <c r="C338" s="21"/>
      <c r="D338" s="22">
        <v>65.0</v>
      </c>
      <c r="E338" s="22"/>
      <c r="F338" s="22"/>
      <c r="G338" s="22"/>
      <c r="H338" s="22"/>
      <c r="I338" s="22"/>
      <c r="J338" s="22"/>
      <c r="K338" s="22"/>
      <c r="L338" s="22"/>
      <c r="M338" s="23">
        <f t="shared" si="1"/>
        <v>65</v>
      </c>
      <c r="N338" s="24" t="str">
        <f t="shared" si="2"/>
        <v>惠华报价</v>
      </c>
      <c r="O338" s="22">
        <f t="shared" si="3"/>
        <v>1</v>
      </c>
    </row>
    <row r="339" ht="57.0" customHeight="1">
      <c r="A339" s="29" t="s">
        <v>529</v>
      </c>
      <c r="B339" s="29" t="s">
        <v>530</v>
      </c>
      <c r="C339" s="25"/>
      <c r="D339" s="26">
        <v>67.0</v>
      </c>
      <c r="E339" s="26"/>
      <c r="F339" s="26"/>
      <c r="G339" s="26"/>
      <c r="H339" s="26"/>
      <c r="I339" s="26"/>
      <c r="J339" s="26"/>
      <c r="K339" s="26"/>
      <c r="L339" s="26"/>
      <c r="M339" s="27">
        <f t="shared" si="1"/>
        <v>67</v>
      </c>
      <c r="N339" s="28" t="str">
        <f t="shared" si="2"/>
        <v>惠华报价</v>
      </c>
      <c r="O339" s="26">
        <f t="shared" si="3"/>
        <v>1</v>
      </c>
    </row>
    <row r="340" ht="71.25" customHeight="1">
      <c r="A340" s="30" t="s">
        <v>531</v>
      </c>
      <c r="B340" s="30" t="s">
        <v>532</v>
      </c>
      <c r="C340" s="21"/>
      <c r="D340" s="22">
        <v>67.0</v>
      </c>
      <c r="E340" s="22"/>
      <c r="F340" s="22"/>
      <c r="G340" s="22"/>
      <c r="H340" s="22"/>
      <c r="I340" s="22"/>
      <c r="J340" s="22"/>
      <c r="K340" s="22"/>
      <c r="L340" s="22"/>
      <c r="M340" s="23">
        <f t="shared" si="1"/>
        <v>67</v>
      </c>
      <c r="N340" s="24" t="str">
        <f t="shared" si="2"/>
        <v>惠华报价</v>
      </c>
      <c r="O340" s="22">
        <f t="shared" si="3"/>
        <v>1</v>
      </c>
    </row>
    <row r="341" ht="71.25" customHeight="1">
      <c r="A341" s="29" t="s">
        <v>533</v>
      </c>
      <c r="B341" s="29" t="s">
        <v>534</v>
      </c>
      <c r="C341" s="25"/>
      <c r="D341" s="26">
        <v>65.0</v>
      </c>
      <c r="E341" s="26"/>
      <c r="F341" s="26"/>
      <c r="G341" s="26"/>
      <c r="H341" s="26"/>
      <c r="I341" s="26"/>
      <c r="J341" s="26"/>
      <c r="K341" s="26"/>
      <c r="L341" s="26"/>
      <c r="M341" s="27">
        <f t="shared" si="1"/>
        <v>65</v>
      </c>
      <c r="N341" s="28" t="str">
        <f t="shared" si="2"/>
        <v>惠华报价</v>
      </c>
      <c r="O341" s="26">
        <f t="shared" si="3"/>
        <v>1</v>
      </c>
    </row>
    <row r="342" ht="71.25" customHeight="1">
      <c r="A342" s="30" t="s">
        <v>535</v>
      </c>
      <c r="B342" s="21" t="s">
        <v>536</v>
      </c>
      <c r="C342" s="21"/>
      <c r="D342" s="22">
        <v>65.0</v>
      </c>
      <c r="E342" s="22"/>
      <c r="F342" s="22"/>
      <c r="G342" s="22"/>
      <c r="H342" s="22"/>
      <c r="I342" s="22"/>
      <c r="J342" s="22"/>
      <c r="K342" s="22"/>
      <c r="L342" s="22"/>
      <c r="M342" s="23">
        <f t="shared" si="1"/>
        <v>65</v>
      </c>
      <c r="N342" s="24" t="str">
        <f t="shared" si="2"/>
        <v>惠华报价</v>
      </c>
      <c r="O342" s="22">
        <f t="shared" si="3"/>
        <v>1</v>
      </c>
    </row>
    <row r="343" ht="42.75" customHeight="1">
      <c r="A343" s="29" t="s">
        <v>537</v>
      </c>
      <c r="B343" s="29" t="s">
        <v>538</v>
      </c>
      <c r="C343" s="25"/>
      <c r="D343" s="26">
        <v>65.0</v>
      </c>
      <c r="E343" s="26"/>
      <c r="F343" s="26"/>
      <c r="G343" s="26"/>
      <c r="H343" s="26"/>
      <c r="I343" s="26"/>
      <c r="J343" s="26"/>
      <c r="K343" s="26"/>
      <c r="L343" s="26"/>
      <c r="M343" s="27">
        <f t="shared" si="1"/>
        <v>65</v>
      </c>
      <c r="N343" s="28" t="str">
        <f t="shared" si="2"/>
        <v>惠华报价</v>
      </c>
      <c r="O343" s="26">
        <f t="shared" si="3"/>
        <v>1</v>
      </c>
    </row>
    <row r="344" ht="42.75" customHeight="1">
      <c r="A344" s="30" t="s">
        <v>539</v>
      </c>
      <c r="B344" s="21" t="s">
        <v>540</v>
      </c>
      <c r="C344" s="21"/>
      <c r="D344" s="22">
        <v>65.0</v>
      </c>
      <c r="E344" s="22"/>
      <c r="F344" s="22"/>
      <c r="G344" s="22"/>
      <c r="H344" s="22"/>
      <c r="I344" s="22"/>
      <c r="J344" s="22"/>
      <c r="K344" s="22"/>
      <c r="L344" s="22"/>
      <c r="M344" s="23">
        <f t="shared" si="1"/>
        <v>65</v>
      </c>
      <c r="N344" s="24" t="str">
        <f t="shared" si="2"/>
        <v>惠华报价</v>
      </c>
      <c r="O344" s="22">
        <f t="shared" si="3"/>
        <v>1</v>
      </c>
    </row>
    <row r="345" ht="71.25" customHeight="1">
      <c r="A345" s="29" t="s">
        <v>541</v>
      </c>
      <c r="B345" s="25" t="s">
        <v>542</v>
      </c>
      <c r="C345" s="25"/>
      <c r="D345" s="26">
        <v>95.0</v>
      </c>
      <c r="E345" s="26"/>
      <c r="F345" s="26"/>
      <c r="G345" s="26"/>
      <c r="H345" s="26"/>
      <c r="I345" s="26"/>
      <c r="J345" s="26"/>
      <c r="K345" s="26"/>
      <c r="L345" s="26"/>
      <c r="M345" s="27">
        <f t="shared" si="1"/>
        <v>95</v>
      </c>
      <c r="N345" s="28" t="str">
        <f t="shared" si="2"/>
        <v>惠华报价</v>
      </c>
      <c r="O345" s="26">
        <f t="shared" si="3"/>
        <v>1</v>
      </c>
    </row>
    <row r="346" ht="71.25" customHeight="1">
      <c r="A346" s="21">
        <v>2.4578508E7</v>
      </c>
      <c r="B346" s="30" t="s">
        <v>543</v>
      </c>
      <c r="C346" s="21"/>
      <c r="D346" s="22">
        <v>80.0</v>
      </c>
      <c r="E346" s="22"/>
      <c r="F346" s="22"/>
      <c r="G346" s="22"/>
      <c r="H346" s="22"/>
      <c r="I346" s="22"/>
      <c r="J346" s="22"/>
      <c r="K346" s="22"/>
      <c r="L346" s="22"/>
      <c r="M346" s="23">
        <f t="shared" si="1"/>
        <v>80</v>
      </c>
      <c r="N346" s="24" t="str">
        <f t="shared" si="2"/>
        <v>惠华报价</v>
      </c>
      <c r="O346" s="22">
        <f t="shared" si="3"/>
        <v>1</v>
      </c>
    </row>
    <row r="347" ht="71.25" customHeight="1">
      <c r="A347" s="29" t="s">
        <v>544</v>
      </c>
      <c r="B347" s="29" t="s">
        <v>545</v>
      </c>
      <c r="C347" s="25"/>
      <c r="D347" s="26">
        <v>90.0</v>
      </c>
      <c r="E347" s="26"/>
      <c r="F347" s="26"/>
      <c r="G347" s="26"/>
      <c r="H347" s="26"/>
      <c r="I347" s="26"/>
      <c r="J347" s="26"/>
      <c r="K347" s="26"/>
      <c r="L347" s="26"/>
      <c r="M347" s="27">
        <f t="shared" si="1"/>
        <v>90</v>
      </c>
      <c r="N347" s="28" t="str">
        <f t="shared" si="2"/>
        <v>惠华报价</v>
      </c>
      <c r="O347" s="26">
        <f t="shared" si="3"/>
        <v>1</v>
      </c>
    </row>
    <row r="348" ht="57.0" customHeight="1">
      <c r="A348" s="21">
        <v>1001.69</v>
      </c>
      <c r="B348" s="30" t="s">
        <v>546</v>
      </c>
      <c r="C348" s="21"/>
      <c r="D348" s="22">
        <v>90.0</v>
      </c>
      <c r="E348" s="22"/>
      <c r="F348" s="22"/>
      <c r="G348" s="22"/>
      <c r="H348" s="22"/>
      <c r="I348" s="22"/>
      <c r="J348" s="22"/>
      <c r="K348" s="22"/>
      <c r="L348" s="22"/>
      <c r="M348" s="23">
        <f t="shared" si="1"/>
        <v>90</v>
      </c>
      <c r="N348" s="24" t="str">
        <f t="shared" si="2"/>
        <v>惠华报价</v>
      </c>
      <c r="O348" s="22">
        <f t="shared" si="3"/>
        <v>1</v>
      </c>
    </row>
    <row r="349" ht="71.25" customHeight="1">
      <c r="A349" s="25" t="s">
        <v>547</v>
      </c>
      <c r="B349" s="29" t="s">
        <v>548</v>
      </c>
      <c r="C349" s="25"/>
      <c r="D349" s="26">
        <v>85.0</v>
      </c>
      <c r="E349" s="26"/>
      <c r="F349" s="26"/>
      <c r="G349" s="26"/>
      <c r="H349" s="26"/>
      <c r="I349" s="26"/>
      <c r="J349" s="26"/>
      <c r="K349" s="26"/>
      <c r="L349" s="26"/>
      <c r="M349" s="27">
        <f t="shared" si="1"/>
        <v>85</v>
      </c>
      <c r="N349" s="28" t="str">
        <f t="shared" si="2"/>
        <v>惠华报价</v>
      </c>
      <c r="O349" s="26">
        <f t="shared" si="3"/>
        <v>1</v>
      </c>
    </row>
    <row r="350" ht="71.25" customHeight="1">
      <c r="A350" s="21">
        <v>1001.87</v>
      </c>
      <c r="B350" s="30" t="s">
        <v>549</v>
      </c>
      <c r="C350" s="21"/>
      <c r="D350" s="22">
        <v>90.0</v>
      </c>
      <c r="E350" s="22"/>
      <c r="F350" s="22"/>
      <c r="G350" s="22"/>
      <c r="H350" s="22"/>
      <c r="I350" s="22"/>
      <c r="J350" s="22"/>
      <c r="K350" s="22"/>
      <c r="L350" s="22"/>
      <c r="M350" s="23">
        <f t="shared" si="1"/>
        <v>90</v>
      </c>
      <c r="N350" s="24" t="str">
        <f t="shared" si="2"/>
        <v>惠华报价</v>
      </c>
      <c r="O350" s="22">
        <f t="shared" si="3"/>
        <v>1</v>
      </c>
    </row>
    <row r="351" ht="85.5" customHeight="1">
      <c r="A351" s="29" t="s">
        <v>550</v>
      </c>
      <c r="B351" s="29" t="s">
        <v>551</v>
      </c>
      <c r="C351" s="25"/>
      <c r="D351" s="26">
        <v>102.0</v>
      </c>
      <c r="E351" s="26"/>
      <c r="F351" s="26"/>
      <c r="G351" s="26"/>
      <c r="H351" s="26"/>
      <c r="I351" s="26"/>
      <c r="J351" s="26"/>
      <c r="K351" s="26"/>
      <c r="L351" s="26"/>
      <c r="M351" s="27">
        <f t="shared" si="1"/>
        <v>102</v>
      </c>
      <c r="N351" s="28" t="str">
        <f t="shared" si="2"/>
        <v>惠华报价</v>
      </c>
      <c r="O351" s="26">
        <f t="shared" si="3"/>
        <v>1</v>
      </c>
    </row>
    <row r="352" ht="28.5" customHeight="1">
      <c r="A352" s="30" t="s">
        <v>552</v>
      </c>
      <c r="B352" s="30" t="s">
        <v>553</v>
      </c>
      <c r="C352" s="21"/>
      <c r="D352" s="22">
        <v>102.0</v>
      </c>
      <c r="E352" s="22"/>
      <c r="F352" s="22"/>
      <c r="G352" s="22"/>
      <c r="H352" s="22"/>
      <c r="I352" s="22"/>
      <c r="J352" s="22"/>
      <c r="K352" s="22"/>
      <c r="L352" s="22"/>
      <c r="M352" s="23">
        <f t="shared" si="1"/>
        <v>102</v>
      </c>
      <c r="N352" s="24" t="str">
        <f t="shared" si="2"/>
        <v>惠华报价</v>
      </c>
      <c r="O352" s="22">
        <f t="shared" si="3"/>
        <v>1</v>
      </c>
    </row>
    <row r="353" ht="42.75" customHeight="1">
      <c r="A353" s="25">
        <v>1001.77</v>
      </c>
      <c r="B353" s="29" t="s">
        <v>554</v>
      </c>
      <c r="C353" s="25"/>
      <c r="D353" s="26">
        <v>102.0</v>
      </c>
      <c r="E353" s="26"/>
      <c r="F353" s="26"/>
      <c r="G353" s="26"/>
      <c r="H353" s="26"/>
      <c r="I353" s="26"/>
      <c r="J353" s="26"/>
      <c r="K353" s="26"/>
      <c r="L353" s="26"/>
      <c r="M353" s="27">
        <f t="shared" si="1"/>
        <v>102</v>
      </c>
      <c r="N353" s="28" t="str">
        <f t="shared" si="2"/>
        <v>惠华报价</v>
      </c>
      <c r="O353" s="26">
        <f t="shared" si="3"/>
        <v>1</v>
      </c>
    </row>
    <row r="354" ht="57.0" customHeight="1">
      <c r="A354" s="21">
        <v>1001.78</v>
      </c>
      <c r="B354" s="30" t="s">
        <v>555</v>
      </c>
      <c r="C354" s="21"/>
      <c r="D354" s="22">
        <v>102.0</v>
      </c>
      <c r="E354" s="22"/>
      <c r="F354" s="22"/>
      <c r="G354" s="22"/>
      <c r="H354" s="22"/>
      <c r="I354" s="22"/>
      <c r="J354" s="22"/>
      <c r="K354" s="22"/>
      <c r="L354" s="22"/>
      <c r="M354" s="23">
        <f t="shared" si="1"/>
        <v>102</v>
      </c>
      <c r="N354" s="24" t="str">
        <f t="shared" si="2"/>
        <v>惠华报价</v>
      </c>
      <c r="O354" s="22">
        <f t="shared" si="3"/>
        <v>1</v>
      </c>
    </row>
    <row r="355" ht="71.25" customHeight="1">
      <c r="A355" s="29" t="s">
        <v>556</v>
      </c>
      <c r="B355" s="29" t="s">
        <v>557</v>
      </c>
      <c r="C355" s="25"/>
      <c r="D355" s="26">
        <v>95.0</v>
      </c>
      <c r="E355" s="26"/>
      <c r="F355" s="26"/>
      <c r="G355" s="26"/>
      <c r="H355" s="26"/>
      <c r="I355" s="26"/>
      <c r="J355" s="26"/>
      <c r="K355" s="26"/>
      <c r="L355" s="26"/>
      <c r="M355" s="27">
        <f t="shared" si="1"/>
        <v>95</v>
      </c>
      <c r="N355" s="28" t="str">
        <f t="shared" si="2"/>
        <v>惠华报价</v>
      </c>
      <c r="O355" s="26">
        <f t="shared" si="3"/>
        <v>1</v>
      </c>
    </row>
    <row r="356" ht="71.25" customHeight="1">
      <c r="A356" s="30" t="s">
        <v>558</v>
      </c>
      <c r="B356" s="30" t="s">
        <v>559</v>
      </c>
      <c r="C356" s="31" t="s">
        <v>560</v>
      </c>
      <c r="D356" s="22">
        <v>65.0</v>
      </c>
      <c r="E356" s="22"/>
      <c r="F356" s="22"/>
      <c r="G356" s="22">
        <v>50.0</v>
      </c>
      <c r="H356" s="22"/>
      <c r="I356" s="22"/>
      <c r="J356" s="22"/>
      <c r="K356" s="22"/>
      <c r="L356" s="22"/>
      <c r="M356" s="23">
        <f t="shared" si="1"/>
        <v>50</v>
      </c>
      <c r="N356" s="24" t="str">
        <f t="shared" si="2"/>
        <v>神航含税</v>
      </c>
      <c r="O356" s="22">
        <f t="shared" si="3"/>
        <v>2</v>
      </c>
    </row>
    <row r="357" ht="42.75" customHeight="1">
      <c r="A357" s="29" t="s">
        <v>561</v>
      </c>
      <c r="B357" s="25" t="s">
        <v>562</v>
      </c>
      <c r="C357" s="25"/>
      <c r="D357" s="26">
        <v>65.0</v>
      </c>
      <c r="E357" s="26"/>
      <c r="F357" s="26"/>
      <c r="G357" s="26"/>
      <c r="H357" s="26"/>
      <c r="I357" s="26"/>
      <c r="J357" s="26"/>
      <c r="K357" s="26"/>
      <c r="L357" s="26"/>
      <c r="M357" s="27">
        <f t="shared" si="1"/>
        <v>65</v>
      </c>
      <c r="N357" s="28" t="str">
        <f t="shared" si="2"/>
        <v>惠华报价</v>
      </c>
      <c r="O357" s="26">
        <f t="shared" si="3"/>
        <v>1</v>
      </c>
    </row>
    <row r="358" ht="42.75" customHeight="1">
      <c r="A358" s="30" t="s">
        <v>563</v>
      </c>
      <c r="B358" s="21" t="s">
        <v>564</v>
      </c>
      <c r="C358" s="21"/>
      <c r="D358" s="22">
        <v>65.0</v>
      </c>
      <c r="E358" s="22"/>
      <c r="F358" s="22"/>
      <c r="G358" s="22"/>
      <c r="H358" s="22"/>
      <c r="I358" s="22"/>
      <c r="J358" s="22"/>
      <c r="K358" s="22"/>
      <c r="L358" s="22"/>
      <c r="M358" s="23">
        <f t="shared" si="1"/>
        <v>65</v>
      </c>
      <c r="N358" s="24" t="str">
        <f t="shared" si="2"/>
        <v>惠华报价</v>
      </c>
      <c r="O358" s="22">
        <f t="shared" si="3"/>
        <v>1</v>
      </c>
    </row>
    <row r="359" ht="71.25" customHeight="1">
      <c r="A359" s="29" t="s">
        <v>565</v>
      </c>
      <c r="B359" s="29" t="s">
        <v>566</v>
      </c>
      <c r="C359" s="25"/>
      <c r="D359" s="26">
        <v>65.0</v>
      </c>
      <c r="E359" s="26"/>
      <c r="F359" s="26"/>
      <c r="G359" s="26"/>
      <c r="H359" s="26"/>
      <c r="I359" s="26"/>
      <c r="J359" s="26"/>
      <c r="K359" s="26"/>
      <c r="L359" s="26"/>
      <c r="M359" s="27">
        <f t="shared" si="1"/>
        <v>65</v>
      </c>
      <c r="N359" s="28" t="str">
        <f t="shared" si="2"/>
        <v>惠华报价</v>
      </c>
      <c r="O359" s="26">
        <f t="shared" si="3"/>
        <v>1</v>
      </c>
    </row>
    <row r="360" ht="71.25" customHeight="1">
      <c r="A360" s="30" t="s">
        <v>567</v>
      </c>
      <c r="B360" s="21" t="s">
        <v>568</v>
      </c>
      <c r="C360" s="21"/>
      <c r="D360" s="22">
        <v>65.0</v>
      </c>
      <c r="E360" s="22"/>
      <c r="F360" s="22"/>
      <c r="G360" s="22"/>
      <c r="H360" s="22"/>
      <c r="I360" s="22"/>
      <c r="J360" s="22"/>
      <c r="K360" s="22"/>
      <c r="L360" s="22"/>
      <c r="M360" s="23">
        <f t="shared" si="1"/>
        <v>65</v>
      </c>
      <c r="N360" s="24" t="str">
        <f t="shared" si="2"/>
        <v>惠华报价</v>
      </c>
      <c r="O360" s="22">
        <f t="shared" si="3"/>
        <v>1</v>
      </c>
    </row>
    <row r="361" ht="71.25" customHeight="1">
      <c r="A361" s="25" t="s">
        <v>569</v>
      </c>
      <c r="B361" s="29" t="s">
        <v>570</v>
      </c>
      <c r="C361" s="25"/>
      <c r="D361" s="26">
        <v>195.0</v>
      </c>
      <c r="E361" s="26"/>
      <c r="F361" s="26"/>
      <c r="G361" s="26"/>
      <c r="H361" s="26"/>
      <c r="I361" s="26"/>
      <c r="J361" s="26"/>
      <c r="K361" s="26"/>
      <c r="L361" s="26"/>
      <c r="M361" s="27">
        <f t="shared" si="1"/>
        <v>195</v>
      </c>
      <c r="N361" s="28" t="str">
        <f t="shared" si="2"/>
        <v>惠华报价</v>
      </c>
      <c r="O361" s="26">
        <f t="shared" si="3"/>
        <v>1</v>
      </c>
    </row>
    <row r="362" ht="71.25" customHeight="1">
      <c r="A362" s="30" t="s">
        <v>571</v>
      </c>
      <c r="B362" s="30" t="s">
        <v>572</v>
      </c>
      <c r="C362" s="21"/>
      <c r="D362" s="22">
        <v>145.0</v>
      </c>
      <c r="E362" s="22"/>
      <c r="F362" s="22"/>
      <c r="G362" s="22"/>
      <c r="H362" s="22"/>
      <c r="I362" s="22"/>
      <c r="J362" s="22"/>
      <c r="K362" s="22"/>
      <c r="L362" s="22"/>
      <c r="M362" s="23">
        <f t="shared" si="1"/>
        <v>145</v>
      </c>
      <c r="N362" s="24" t="str">
        <f t="shared" si="2"/>
        <v>惠华报价</v>
      </c>
      <c r="O362" s="22">
        <f t="shared" si="3"/>
        <v>1</v>
      </c>
    </row>
    <row r="363" ht="42.75" customHeight="1">
      <c r="A363" s="25" t="s">
        <v>573</v>
      </c>
      <c r="B363" s="29" t="s">
        <v>574</v>
      </c>
      <c r="C363" s="25"/>
      <c r="D363" s="26">
        <v>130.0</v>
      </c>
      <c r="E363" s="26"/>
      <c r="F363" s="26"/>
      <c r="G363" s="26"/>
      <c r="H363" s="26"/>
      <c r="I363" s="26"/>
      <c r="J363" s="26"/>
      <c r="K363" s="26"/>
      <c r="L363" s="26"/>
      <c r="M363" s="27">
        <f t="shared" si="1"/>
        <v>130</v>
      </c>
      <c r="N363" s="28" t="str">
        <f t="shared" si="2"/>
        <v>惠华报价</v>
      </c>
      <c r="O363" s="26">
        <f t="shared" si="3"/>
        <v>1</v>
      </c>
    </row>
    <row r="364" ht="42.75" customHeight="1">
      <c r="A364" s="30" t="s">
        <v>575</v>
      </c>
      <c r="B364" s="30" t="s">
        <v>576</v>
      </c>
      <c r="C364" s="21"/>
      <c r="D364" s="22">
        <v>80.0</v>
      </c>
      <c r="E364" s="22"/>
      <c r="F364" s="22"/>
      <c r="G364" s="22"/>
      <c r="H364" s="22"/>
      <c r="I364" s="22"/>
      <c r="J364" s="22"/>
      <c r="K364" s="22"/>
      <c r="L364" s="22"/>
      <c r="M364" s="23">
        <f t="shared" si="1"/>
        <v>80</v>
      </c>
      <c r="N364" s="24" t="str">
        <f t="shared" si="2"/>
        <v>惠华报价</v>
      </c>
      <c r="O364" s="22">
        <f t="shared" si="3"/>
        <v>1</v>
      </c>
    </row>
    <row r="365" ht="71.25" customHeight="1">
      <c r="A365" s="29" t="s">
        <v>577</v>
      </c>
      <c r="B365" s="29" t="s">
        <v>578</v>
      </c>
      <c r="C365" s="25"/>
      <c r="D365" s="26">
        <v>65.0</v>
      </c>
      <c r="E365" s="26"/>
      <c r="F365" s="26"/>
      <c r="G365" s="26"/>
      <c r="H365" s="26"/>
      <c r="I365" s="26"/>
      <c r="J365" s="26"/>
      <c r="K365" s="26"/>
      <c r="L365" s="26"/>
      <c r="M365" s="27">
        <f t="shared" si="1"/>
        <v>65</v>
      </c>
      <c r="N365" s="28" t="str">
        <f t="shared" si="2"/>
        <v>惠华报价</v>
      </c>
      <c r="O365" s="26">
        <f t="shared" si="3"/>
        <v>1</v>
      </c>
    </row>
    <row r="366" ht="57.0" customHeight="1">
      <c r="A366" s="30" t="s">
        <v>579</v>
      </c>
      <c r="B366" s="21" t="s">
        <v>580</v>
      </c>
      <c r="C366" s="21"/>
      <c r="D366" s="22">
        <v>46.0</v>
      </c>
      <c r="E366" s="22"/>
      <c r="F366" s="22"/>
      <c r="G366" s="22"/>
      <c r="H366" s="22"/>
      <c r="I366" s="22"/>
      <c r="J366" s="22"/>
      <c r="K366" s="22"/>
      <c r="L366" s="22"/>
      <c r="M366" s="23">
        <f t="shared" si="1"/>
        <v>46</v>
      </c>
      <c r="N366" s="24" t="str">
        <f t="shared" si="2"/>
        <v>惠华报价</v>
      </c>
      <c r="O366" s="22">
        <f t="shared" si="3"/>
        <v>1</v>
      </c>
    </row>
    <row r="367" ht="28.5" customHeight="1">
      <c r="A367" s="29" t="s">
        <v>581</v>
      </c>
      <c r="B367" s="29" t="s">
        <v>582</v>
      </c>
      <c r="C367" s="25"/>
      <c r="D367" s="26">
        <v>50.0</v>
      </c>
      <c r="E367" s="26"/>
      <c r="F367" s="26"/>
      <c r="G367" s="26"/>
      <c r="H367" s="26"/>
      <c r="I367" s="26"/>
      <c r="J367" s="26"/>
      <c r="K367" s="26"/>
      <c r="L367" s="26"/>
      <c r="M367" s="27">
        <f t="shared" si="1"/>
        <v>50</v>
      </c>
      <c r="N367" s="28" t="str">
        <f t="shared" si="2"/>
        <v>惠华报价</v>
      </c>
      <c r="O367" s="26">
        <f t="shared" si="3"/>
        <v>1</v>
      </c>
    </row>
    <row r="368" ht="71.25" customHeight="1">
      <c r="A368" s="21" t="s">
        <v>583</v>
      </c>
      <c r="B368" s="30" t="s">
        <v>584</v>
      </c>
      <c r="C368" s="21"/>
      <c r="D368" s="22">
        <v>46.0</v>
      </c>
      <c r="E368" s="22"/>
      <c r="F368" s="22"/>
      <c r="G368" s="22"/>
      <c r="H368" s="22"/>
      <c r="I368" s="22"/>
      <c r="J368" s="22"/>
      <c r="K368" s="22"/>
      <c r="L368" s="22"/>
      <c r="M368" s="23">
        <f t="shared" si="1"/>
        <v>46</v>
      </c>
      <c r="N368" s="24" t="str">
        <f t="shared" si="2"/>
        <v>惠华报价</v>
      </c>
      <c r="O368" s="22">
        <f t="shared" si="3"/>
        <v>1</v>
      </c>
    </row>
    <row r="369" ht="42.75" customHeight="1">
      <c r="A369" s="25" t="s">
        <v>110</v>
      </c>
      <c r="B369" s="25" t="s">
        <v>585</v>
      </c>
      <c r="C369" s="25"/>
      <c r="D369" s="26">
        <v>65.0</v>
      </c>
      <c r="E369" s="26"/>
      <c r="F369" s="26"/>
      <c r="G369" s="26"/>
      <c r="H369" s="26"/>
      <c r="I369" s="26"/>
      <c r="J369" s="26"/>
      <c r="K369" s="26"/>
      <c r="L369" s="26"/>
      <c r="M369" s="27">
        <f t="shared" si="1"/>
        <v>65</v>
      </c>
      <c r="N369" s="28" t="str">
        <f t="shared" si="2"/>
        <v>惠华报价</v>
      </c>
      <c r="O369" s="26">
        <f t="shared" si="3"/>
        <v>1</v>
      </c>
    </row>
    <row r="370" ht="71.25" customHeight="1">
      <c r="A370" s="30" t="s">
        <v>586</v>
      </c>
      <c r="B370" s="21" t="s">
        <v>587</v>
      </c>
      <c r="C370" s="21"/>
      <c r="D370" s="22">
        <v>65.0</v>
      </c>
      <c r="E370" s="22"/>
      <c r="F370" s="22"/>
      <c r="G370" s="22"/>
      <c r="H370" s="22"/>
      <c r="I370" s="22"/>
      <c r="J370" s="22"/>
      <c r="K370" s="22"/>
      <c r="L370" s="22"/>
      <c r="M370" s="23">
        <f t="shared" si="1"/>
        <v>65</v>
      </c>
      <c r="N370" s="24" t="str">
        <f t="shared" si="2"/>
        <v>惠华报价</v>
      </c>
      <c r="O370" s="22">
        <f t="shared" si="3"/>
        <v>1</v>
      </c>
    </row>
    <row r="371" ht="57.0" customHeight="1">
      <c r="A371" s="29" t="s">
        <v>588</v>
      </c>
      <c r="B371" s="25" t="s">
        <v>589</v>
      </c>
      <c r="C371" s="25"/>
      <c r="D371" s="26">
        <v>65.0</v>
      </c>
      <c r="E371" s="26"/>
      <c r="F371" s="26"/>
      <c r="G371" s="26"/>
      <c r="H371" s="26"/>
      <c r="I371" s="26"/>
      <c r="J371" s="26"/>
      <c r="K371" s="26"/>
      <c r="L371" s="26"/>
      <c r="M371" s="27">
        <f t="shared" si="1"/>
        <v>65</v>
      </c>
      <c r="N371" s="28" t="str">
        <f t="shared" si="2"/>
        <v>惠华报价</v>
      </c>
      <c r="O371" s="26">
        <f t="shared" si="3"/>
        <v>1</v>
      </c>
    </row>
    <row r="372" ht="57.0" customHeight="1">
      <c r="A372" s="21" t="s">
        <v>590</v>
      </c>
      <c r="B372" s="30" t="s">
        <v>591</v>
      </c>
      <c r="C372" s="21"/>
      <c r="D372" s="22">
        <v>65.0</v>
      </c>
      <c r="E372" s="22"/>
      <c r="F372" s="22"/>
      <c r="G372" s="22"/>
      <c r="H372" s="22"/>
      <c r="I372" s="22"/>
      <c r="J372" s="22"/>
      <c r="K372" s="22"/>
      <c r="L372" s="22"/>
      <c r="M372" s="23">
        <f t="shared" si="1"/>
        <v>65</v>
      </c>
      <c r="N372" s="24" t="str">
        <f t="shared" si="2"/>
        <v>惠华报价</v>
      </c>
      <c r="O372" s="22">
        <f t="shared" si="3"/>
        <v>1</v>
      </c>
    </row>
    <row r="373" ht="42.75" customHeight="1">
      <c r="A373" s="29" t="s">
        <v>592</v>
      </c>
      <c r="B373" s="29" t="s">
        <v>591</v>
      </c>
      <c r="C373" s="25"/>
      <c r="D373" s="26">
        <v>65.0</v>
      </c>
      <c r="E373" s="26"/>
      <c r="F373" s="26"/>
      <c r="G373" s="26"/>
      <c r="H373" s="26"/>
      <c r="I373" s="26"/>
      <c r="J373" s="26"/>
      <c r="K373" s="26"/>
      <c r="L373" s="26"/>
      <c r="M373" s="27">
        <f t="shared" si="1"/>
        <v>65</v>
      </c>
      <c r="N373" s="28" t="str">
        <f t="shared" si="2"/>
        <v>惠华报价</v>
      </c>
      <c r="O373" s="26">
        <f t="shared" si="3"/>
        <v>1</v>
      </c>
    </row>
    <row r="374" ht="57.0" customHeight="1">
      <c r="A374" s="21" t="s">
        <v>593</v>
      </c>
      <c r="B374" s="30" t="s">
        <v>594</v>
      </c>
      <c r="C374" s="21"/>
      <c r="D374" s="22">
        <v>55.0</v>
      </c>
      <c r="E374" s="22"/>
      <c r="F374" s="22"/>
      <c r="G374" s="22"/>
      <c r="H374" s="22"/>
      <c r="I374" s="22"/>
      <c r="J374" s="22"/>
      <c r="K374" s="22"/>
      <c r="L374" s="22"/>
      <c r="M374" s="23">
        <f t="shared" si="1"/>
        <v>55</v>
      </c>
      <c r="N374" s="24" t="str">
        <f t="shared" si="2"/>
        <v>惠华报价</v>
      </c>
      <c r="O374" s="22">
        <f t="shared" si="3"/>
        <v>1</v>
      </c>
    </row>
    <row r="375" ht="57.0" customHeight="1">
      <c r="A375" s="29" t="s">
        <v>595</v>
      </c>
      <c r="B375" s="29" t="s">
        <v>596</v>
      </c>
      <c r="C375" s="25"/>
      <c r="D375" s="26">
        <v>48.0</v>
      </c>
      <c r="E375" s="26"/>
      <c r="F375" s="26"/>
      <c r="G375" s="26"/>
      <c r="H375" s="26"/>
      <c r="I375" s="26"/>
      <c r="J375" s="26"/>
      <c r="K375" s="26"/>
      <c r="L375" s="26"/>
      <c r="M375" s="27">
        <f t="shared" si="1"/>
        <v>48</v>
      </c>
      <c r="N375" s="28" t="str">
        <f t="shared" si="2"/>
        <v>惠华报价</v>
      </c>
      <c r="O375" s="26">
        <f t="shared" si="3"/>
        <v>1</v>
      </c>
    </row>
    <row r="376" ht="71.25" customHeight="1">
      <c r="A376" s="21" t="s">
        <v>597</v>
      </c>
      <c r="B376" s="30" t="s">
        <v>598</v>
      </c>
      <c r="C376" s="21"/>
      <c r="D376" s="22">
        <v>65.0</v>
      </c>
      <c r="E376" s="22"/>
      <c r="F376" s="22"/>
      <c r="G376" s="22"/>
      <c r="H376" s="22"/>
      <c r="I376" s="22"/>
      <c r="J376" s="22"/>
      <c r="K376" s="22"/>
      <c r="L376" s="22"/>
      <c r="M376" s="23">
        <f t="shared" si="1"/>
        <v>65</v>
      </c>
      <c r="N376" s="24" t="str">
        <f t="shared" si="2"/>
        <v>惠华报价</v>
      </c>
      <c r="O376" s="22">
        <f t="shared" si="3"/>
        <v>1</v>
      </c>
    </row>
    <row r="377" ht="57.0" customHeight="1">
      <c r="A377" s="25" t="s">
        <v>599</v>
      </c>
      <c r="B377" s="25" t="s">
        <v>600</v>
      </c>
      <c r="C377" s="25"/>
      <c r="D377" s="26">
        <v>70.0</v>
      </c>
      <c r="E377" s="26"/>
      <c r="F377" s="26"/>
      <c r="G377" s="26"/>
      <c r="H377" s="26"/>
      <c r="I377" s="26"/>
      <c r="J377" s="26"/>
      <c r="K377" s="26"/>
      <c r="L377" s="26"/>
      <c r="M377" s="27">
        <f t="shared" si="1"/>
        <v>70</v>
      </c>
      <c r="N377" s="28" t="str">
        <f t="shared" si="2"/>
        <v>惠华报价</v>
      </c>
      <c r="O377" s="26">
        <f t="shared" si="3"/>
        <v>1</v>
      </c>
    </row>
    <row r="378" ht="57.0" customHeight="1">
      <c r="A378" s="21" t="s">
        <v>601</v>
      </c>
      <c r="B378" s="21" t="s">
        <v>602</v>
      </c>
      <c r="C378" s="21"/>
      <c r="D378" s="22">
        <v>70.0</v>
      </c>
      <c r="E378" s="22"/>
      <c r="F378" s="22"/>
      <c r="G378" s="22"/>
      <c r="H378" s="22"/>
      <c r="I378" s="22"/>
      <c r="J378" s="22"/>
      <c r="K378" s="22"/>
      <c r="L378" s="22"/>
      <c r="M378" s="23">
        <f t="shared" si="1"/>
        <v>70</v>
      </c>
      <c r="N378" s="24" t="str">
        <f t="shared" si="2"/>
        <v>惠华报价</v>
      </c>
      <c r="O378" s="22">
        <f t="shared" si="3"/>
        <v>1</v>
      </c>
    </row>
    <row r="379" ht="57.0" customHeight="1">
      <c r="A379" s="29" t="s">
        <v>603</v>
      </c>
      <c r="B379" s="29" t="s">
        <v>604</v>
      </c>
      <c r="C379" s="25"/>
      <c r="D379" s="26">
        <v>42.0</v>
      </c>
      <c r="E379" s="26"/>
      <c r="F379" s="26"/>
      <c r="G379" s="26"/>
      <c r="H379" s="26"/>
      <c r="I379" s="26"/>
      <c r="J379" s="26"/>
      <c r="K379" s="26"/>
      <c r="L379" s="26"/>
      <c r="M379" s="27">
        <f t="shared" si="1"/>
        <v>42</v>
      </c>
      <c r="N379" s="28" t="str">
        <f t="shared" si="2"/>
        <v>惠华报价</v>
      </c>
      <c r="O379" s="26">
        <f t="shared" si="3"/>
        <v>1</v>
      </c>
    </row>
    <row r="380" ht="57.0" customHeight="1">
      <c r="A380" s="30" t="s">
        <v>605</v>
      </c>
      <c r="B380" s="30" t="s">
        <v>606</v>
      </c>
      <c r="C380" s="21"/>
      <c r="D380" s="22">
        <v>46.0</v>
      </c>
      <c r="E380" s="22"/>
      <c r="F380" s="22"/>
      <c r="G380" s="22"/>
      <c r="H380" s="22"/>
      <c r="I380" s="22"/>
      <c r="J380" s="22"/>
      <c r="K380" s="22"/>
      <c r="L380" s="22"/>
      <c r="M380" s="23">
        <f t="shared" si="1"/>
        <v>46</v>
      </c>
      <c r="N380" s="24" t="str">
        <f t="shared" si="2"/>
        <v>惠华报价</v>
      </c>
      <c r="O380" s="22">
        <f t="shared" si="3"/>
        <v>1</v>
      </c>
    </row>
    <row r="381" ht="28.5" customHeight="1">
      <c r="A381" s="29" t="s">
        <v>607</v>
      </c>
      <c r="B381" s="29" t="s">
        <v>608</v>
      </c>
      <c r="C381" s="25"/>
      <c r="D381" s="26">
        <v>102.0</v>
      </c>
      <c r="E381" s="26"/>
      <c r="F381" s="26"/>
      <c r="G381" s="26"/>
      <c r="H381" s="26"/>
      <c r="I381" s="26"/>
      <c r="J381" s="26"/>
      <c r="K381" s="26"/>
      <c r="L381" s="26"/>
      <c r="M381" s="27">
        <f t="shared" si="1"/>
        <v>102</v>
      </c>
      <c r="N381" s="28" t="str">
        <f t="shared" si="2"/>
        <v>惠华报价</v>
      </c>
      <c r="O381" s="26">
        <f t="shared" si="3"/>
        <v>1</v>
      </c>
    </row>
    <row r="382" ht="71.25" customHeight="1">
      <c r="A382" s="30" t="s">
        <v>609</v>
      </c>
      <c r="B382" s="30" t="s">
        <v>610</v>
      </c>
      <c r="C382" s="21"/>
      <c r="D382" s="22">
        <v>102.0</v>
      </c>
      <c r="E382" s="22"/>
      <c r="F382" s="22"/>
      <c r="G382" s="22"/>
      <c r="H382" s="22"/>
      <c r="I382" s="22"/>
      <c r="J382" s="22"/>
      <c r="K382" s="22"/>
      <c r="L382" s="22"/>
      <c r="M382" s="23">
        <f t="shared" si="1"/>
        <v>102</v>
      </c>
      <c r="N382" s="24" t="str">
        <f t="shared" si="2"/>
        <v>惠华报价</v>
      </c>
      <c r="O382" s="22">
        <f t="shared" si="3"/>
        <v>1</v>
      </c>
    </row>
    <row r="383" ht="42.75" customHeight="1">
      <c r="A383" s="29" t="s">
        <v>611</v>
      </c>
      <c r="B383" s="25" t="s">
        <v>612</v>
      </c>
      <c r="C383" s="25"/>
      <c r="D383" s="26">
        <v>95.0</v>
      </c>
      <c r="E383" s="26"/>
      <c r="F383" s="26"/>
      <c r="G383" s="26"/>
      <c r="H383" s="26"/>
      <c r="I383" s="26"/>
      <c r="J383" s="26"/>
      <c r="K383" s="26"/>
      <c r="L383" s="26"/>
      <c r="M383" s="27">
        <f t="shared" si="1"/>
        <v>95</v>
      </c>
      <c r="N383" s="28" t="str">
        <f t="shared" si="2"/>
        <v>惠华报价</v>
      </c>
      <c r="O383" s="26">
        <f t="shared" si="3"/>
        <v>1</v>
      </c>
    </row>
    <row r="384" ht="42.75" customHeight="1">
      <c r="A384" s="30" t="s">
        <v>613</v>
      </c>
      <c r="B384" s="30" t="s">
        <v>614</v>
      </c>
      <c r="C384" s="21"/>
      <c r="D384" s="22">
        <v>380.0</v>
      </c>
      <c r="E384" s="22"/>
      <c r="F384" s="22"/>
      <c r="G384" s="22"/>
      <c r="H384" s="22"/>
      <c r="I384" s="22"/>
      <c r="J384" s="22"/>
      <c r="K384" s="22"/>
      <c r="L384" s="22"/>
      <c r="M384" s="23">
        <f t="shared" si="1"/>
        <v>380</v>
      </c>
      <c r="N384" s="24" t="str">
        <f t="shared" si="2"/>
        <v>惠华报价</v>
      </c>
      <c r="O384" s="22">
        <f t="shared" si="3"/>
        <v>1</v>
      </c>
    </row>
    <row r="385" ht="71.25" customHeight="1">
      <c r="A385" s="29" t="s">
        <v>615</v>
      </c>
      <c r="B385" s="25" t="s">
        <v>616</v>
      </c>
      <c r="C385" s="25"/>
      <c r="D385" s="26">
        <v>85.0</v>
      </c>
      <c r="E385" s="26"/>
      <c r="F385" s="26"/>
      <c r="G385" s="26"/>
      <c r="H385" s="26"/>
      <c r="I385" s="26"/>
      <c r="J385" s="26"/>
      <c r="K385" s="26"/>
      <c r="L385" s="26"/>
      <c r="M385" s="27">
        <f t="shared" si="1"/>
        <v>85</v>
      </c>
      <c r="N385" s="28" t="str">
        <f t="shared" si="2"/>
        <v>惠华报价</v>
      </c>
      <c r="O385" s="26">
        <f t="shared" si="3"/>
        <v>1</v>
      </c>
    </row>
    <row r="386" ht="71.25" customHeight="1">
      <c r="A386" s="30" t="s">
        <v>617</v>
      </c>
      <c r="B386" s="30" t="s">
        <v>618</v>
      </c>
      <c r="C386" s="21"/>
      <c r="D386" s="22">
        <v>205.0</v>
      </c>
      <c r="E386" s="22"/>
      <c r="F386" s="22"/>
      <c r="G386" s="22"/>
      <c r="H386" s="22"/>
      <c r="I386" s="22"/>
      <c r="J386" s="22"/>
      <c r="K386" s="22"/>
      <c r="L386" s="22"/>
      <c r="M386" s="23">
        <f t="shared" si="1"/>
        <v>205</v>
      </c>
      <c r="N386" s="24" t="str">
        <f t="shared" si="2"/>
        <v>惠华报价</v>
      </c>
      <c r="O386" s="22">
        <f t="shared" si="3"/>
        <v>1</v>
      </c>
    </row>
    <row r="387" ht="71.25" customHeight="1">
      <c r="A387" s="29" t="s">
        <v>619</v>
      </c>
      <c r="B387" s="29" t="s">
        <v>620</v>
      </c>
      <c r="C387" s="25"/>
      <c r="D387" s="26">
        <v>160.0</v>
      </c>
      <c r="E387" s="26"/>
      <c r="F387" s="26"/>
      <c r="G387" s="26"/>
      <c r="H387" s="26"/>
      <c r="I387" s="26"/>
      <c r="J387" s="26"/>
      <c r="K387" s="26"/>
      <c r="L387" s="26"/>
      <c r="M387" s="27">
        <f t="shared" si="1"/>
        <v>160</v>
      </c>
      <c r="N387" s="28" t="str">
        <f t="shared" si="2"/>
        <v>惠华报价</v>
      </c>
      <c r="O387" s="26">
        <f t="shared" si="3"/>
        <v>1</v>
      </c>
    </row>
    <row r="388" ht="57.0" customHeight="1">
      <c r="A388" s="30" t="s">
        <v>621</v>
      </c>
      <c r="B388" s="30" t="s">
        <v>622</v>
      </c>
      <c r="C388" s="21"/>
      <c r="D388" s="22">
        <v>165.0</v>
      </c>
      <c r="E388" s="22"/>
      <c r="F388" s="22"/>
      <c r="G388" s="22"/>
      <c r="H388" s="22"/>
      <c r="I388" s="22"/>
      <c r="J388" s="22"/>
      <c r="K388" s="22"/>
      <c r="L388" s="22"/>
      <c r="M388" s="23">
        <f t="shared" si="1"/>
        <v>165</v>
      </c>
      <c r="N388" s="24" t="str">
        <f t="shared" si="2"/>
        <v>惠华报价</v>
      </c>
      <c r="O388" s="22">
        <f t="shared" si="3"/>
        <v>1</v>
      </c>
    </row>
    <row r="389" ht="42.75" customHeight="1">
      <c r="A389" s="25" t="s">
        <v>623</v>
      </c>
      <c r="B389" s="29" t="s">
        <v>624</v>
      </c>
      <c r="C389" s="25"/>
      <c r="D389" s="26">
        <v>260.0</v>
      </c>
      <c r="E389" s="26"/>
      <c r="F389" s="26"/>
      <c r="G389" s="26"/>
      <c r="H389" s="26"/>
      <c r="I389" s="26"/>
      <c r="J389" s="26"/>
      <c r="K389" s="26"/>
      <c r="L389" s="26"/>
      <c r="M389" s="27">
        <f t="shared" si="1"/>
        <v>260</v>
      </c>
      <c r="N389" s="28" t="str">
        <f t="shared" si="2"/>
        <v>惠华报价</v>
      </c>
      <c r="O389" s="26">
        <f t="shared" si="3"/>
        <v>1</v>
      </c>
    </row>
    <row r="390" ht="71.25" customHeight="1">
      <c r="A390" s="30" t="s">
        <v>625</v>
      </c>
      <c r="B390" s="30" t="s">
        <v>626</v>
      </c>
      <c r="C390" s="21"/>
      <c r="D390" s="22">
        <v>320.0</v>
      </c>
      <c r="E390" s="22"/>
      <c r="F390" s="22"/>
      <c r="G390" s="22"/>
      <c r="H390" s="22"/>
      <c r="I390" s="22"/>
      <c r="J390" s="22"/>
      <c r="K390" s="22"/>
      <c r="L390" s="22"/>
      <c r="M390" s="23">
        <f t="shared" si="1"/>
        <v>320</v>
      </c>
      <c r="N390" s="24" t="str">
        <f t="shared" si="2"/>
        <v>惠华报价</v>
      </c>
      <c r="O390" s="22">
        <f t="shared" si="3"/>
        <v>1</v>
      </c>
    </row>
    <row r="391" ht="42.75" customHeight="1">
      <c r="A391" s="29" t="s">
        <v>627</v>
      </c>
      <c r="B391" s="29" t="s">
        <v>628</v>
      </c>
      <c r="C391" s="25"/>
      <c r="D391" s="26">
        <v>320.0</v>
      </c>
      <c r="E391" s="26"/>
      <c r="F391" s="26"/>
      <c r="G391" s="26"/>
      <c r="H391" s="26"/>
      <c r="I391" s="26"/>
      <c r="J391" s="26"/>
      <c r="K391" s="26"/>
      <c r="L391" s="26"/>
      <c r="M391" s="27">
        <f t="shared" si="1"/>
        <v>320</v>
      </c>
      <c r="N391" s="28" t="str">
        <f t="shared" si="2"/>
        <v>惠华报价</v>
      </c>
      <c r="O391" s="26">
        <f t="shared" si="3"/>
        <v>1</v>
      </c>
    </row>
    <row r="392" ht="71.25" customHeight="1">
      <c r="A392" s="30" t="s">
        <v>629</v>
      </c>
      <c r="B392" s="30" t="s">
        <v>630</v>
      </c>
      <c r="C392" s="21"/>
      <c r="D392" s="22">
        <v>350.0</v>
      </c>
      <c r="E392" s="22"/>
      <c r="F392" s="22"/>
      <c r="G392" s="22"/>
      <c r="H392" s="22"/>
      <c r="I392" s="22"/>
      <c r="J392" s="22"/>
      <c r="K392" s="22"/>
      <c r="L392" s="22"/>
      <c r="M392" s="23">
        <f t="shared" si="1"/>
        <v>350</v>
      </c>
      <c r="N392" s="24" t="str">
        <f t="shared" si="2"/>
        <v>惠华报价</v>
      </c>
      <c r="O392" s="22">
        <f t="shared" si="3"/>
        <v>1</v>
      </c>
    </row>
    <row r="393" ht="57.0" customHeight="1">
      <c r="A393" s="29" t="s">
        <v>631</v>
      </c>
      <c r="B393" s="29" t="s">
        <v>632</v>
      </c>
      <c r="C393" s="25"/>
      <c r="D393" s="26">
        <v>210.0</v>
      </c>
      <c r="E393" s="26"/>
      <c r="F393" s="26"/>
      <c r="G393" s="26"/>
      <c r="H393" s="26"/>
      <c r="I393" s="26"/>
      <c r="J393" s="26"/>
      <c r="K393" s="26"/>
      <c r="L393" s="26"/>
      <c r="M393" s="27">
        <f t="shared" si="1"/>
        <v>210</v>
      </c>
      <c r="N393" s="28" t="str">
        <f t="shared" si="2"/>
        <v>惠华报价</v>
      </c>
      <c r="O393" s="26">
        <f t="shared" si="3"/>
        <v>1</v>
      </c>
    </row>
    <row r="394" ht="85.5" customHeight="1">
      <c r="A394" s="21" t="s">
        <v>633</v>
      </c>
      <c r="B394" s="30" t="s">
        <v>634</v>
      </c>
      <c r="C394" s="21"/>
      <c r="D394" s="22">
        <v>210.0</v>
      </c>
      <c r="E394" s="22"/>
      <c r="F394" s="22"/>
      <c r="G394" s="22"/>
      <c r="H394" s="22"/>
      <c r="I394" s="22"/>
      <c r="J394" s="22"/>
      <c r="K394" s="22"/>
      <c r="L394" s="22"/>
      <c r="M394" s="23">
        <f t="shared" si="1"/>
        <v>210</v>
      </c>
      <c r="N394" s="24" t="str">
        <f t="shared" si="2"/>
        <v>惠华报价</v>
      </c>
      <c r="O394" s="22">
        <f t="shared" si="3"/>
        <v>1</v>
      </c>
    </row>
    <row r="395" ht="28.5" customHeight="1">
      <c r="A395" s="29" t="s">
        <v>635</v>
      </c>
      <c r="B395" s="29" t="s">
        <v>636</v>
      </c>
      <c r="C395" s="25"/>
      <c r="D395" s="26">
        <v>195.0</v>
      </c>
      <c r="E395" s="26"/>
      <c r="F395" s="26"/>
      <c r="G395" s="26"/>
      <c r="H395" s="26"/>
      <c r="I395" s="26"/>
      <c r="J395" s="26"/>
      <c r="K395" s="26"/>
      <c r="L395" s="26"/>
      <c r="M395" s="27">
        <f t="shared" si="1"/>
        <v>195</v>
      </c>
      <c r="N395" s="28" t="str">
        <f t="shared" si="2"/>
        <v>惠华报价</v>
      </c>
      <c r="O395" s="26">
        <f t="shared" si="3"/>
        <v>1</v>
      </c>
    </row>
    <row r="396" ht="71.25" customHeight="1">
      <c r="A396" s="30" t="s">
        <v>637</v>
      </c>
      <c r="B396" s="30" t="s">
        <v>638</v>
      </c>
      <c r="C396" s="21"/>
      <c r="D396" s="22">
        <v>90.0</v>
      </c>
      <c r="E396" s="22"/>
      <c r="F396" s="22"/>
      <c r="G396" s="22"/>
      <c r="H396" s="22"/>
      <c r="I396" s="22"/>
      <c r="J396" s="22"/>
      <c r="K396" s="22"/>
      <c r="L396" s="22"/>
      <c r="M396" s="23">
        <f t="shared" si="1"/>
        <v>90</v>
      </c>
      <c r="N396" s="24" t="str">
        <f t="shared" si="2"/>
        <v>惠华报价</v>
      </c>
      <c r="O396" s="22">
        <f t="shared" si="3"/>
        <v>1</v>
      </c>
    </row>
    <row r="397" ht="71.25" customHeight="1">
      <c r="A397" s="29" t="s">
        <v>639</v>
      </c>
      <c r="B397" s="29" t="s">
        <v>640</v>
      </c>
      <c r="C397" s="25"/>
      <c r="D397" s="26">
        <v>130.0</v>
      </c>
      <c r="E397" s="26"/>
      <c r="F397" s="26"/>
      <c r="G397" s="26"/>
      <c r="H397" s="26"/>
      <c r="I397" s="26"/>
      <c r="J397" s="26"/>
      <c r="K397" s="26"/>
      <c r="L397" s="26"/>
      <c r="M397" s="27">
        <f t="shared" si="1"/>
        <v>130</v>
      </c>
      <c r="N397" s="28" t="str">
        <f t="shared" si="2"/>
        <v>惠华报价</v>
      </c>
      <c r="O397" s="26">
        <f t="shared" si="3"/>
        <v>1</v>
      </c>
    </row>
    <row r="398" ht="71.25" customHeight="1">
      <c r="A398" s="30" t="s">
        <v>641</v>
      </c>
      <c r="B398" s="30" t="s">
        <v>642</v>
      </c>
      <c r="C398" s="21"/>
      <c r="D398" s="22">
        <v>60.0</v>
      </c>
      <c r="E398" s="22"/>
      <c r="F398" s="22"/>
      <c r="G398" s="22"/>
      <c r="H398" s="22"/>
      <c r="I398" s="22"/>
      <c r="J398" s="22"/>
      <c r="K398" s="22"/>
      <c r="L398" s="22"/>
      <c r="M398" s="23">
        <f t="shared" si="1"/>
        <v>60</v>
      </c>
      <c r="N398" s="24" t="str">
        <f t="shared" si="2"/>
        <v>惠华报价</v>
      </c>
      <c r="O398" s="22">
        <f t="shared" si="3"/>
        <v>1</v>
      </c>
    </row>
    <row r="399" ht="71.25" customHeight="1">
      <c r="A399" s="29" t="s">
        <v>643</v>
      </c>
      <c r="B399" s="29" t="s">
        <v>644</v>
      </c>
      <c r="C399" s="25"/>
      <c r="D399" s="26">
        <v>60.0</v>
      </c>
      <c r="E399" s="26"/>
      <c r="F399" s="26"/>
      <c r="G399" s="26"/>
      <c r="H399" s="26"/>
      <c r="I399" s="26"/>
      <c r="J399" s="26"/>
      <c r="K399" s="26"/>
      <c r="L399" s="26"/>
      <c r="M399" s="27">
        <f t="shared" si="1"/>
        <v>60</v>
      </c>
      <c r="N399" s="28" t="str">
        <f t="shared" si="2"/>
        <v>惠华报价</v>
      </c>
      <c r="O399" s="26">
        <f t="shared" si="3"/>
        <v>1</v>
      </c>
    </row>
    <row r="400" ht="42.75" customHeight="1">
      <c r="A400" s="30" t="s">
        <v>645</v>
      </c>
      <c r="B400" s="30" t="s">
        <v>646</v>
      </c>
      <c r="C400" s="21"/>
      <c r="D400" s="22">
        <v>65.0</v>
      </c>
      <c r="E400" s="22"/>
      <c r="F400" s="22"/>
      <c r="G400" s="22"/>
      <c r="H400" s="22"/>
      <c r="I400" s="22"/>
      <c r="J400" s="22"/>
      <c r="K400" s="22"/>
      <c r="L400" s="22"/>
      <c r="M400" s="23">
        <f t="shared" si="1"/>
        <v>65</v>
      </c>
      <c r="N400" s="24" t="str">
        <f t="shared" si="2"/>
        <v>惠华报价</v>
      </c>
      <c r="O400" s="22">
        <f t="shared" si="3"/>
        <v>1</v>
      </c>
    </row>
    <row r="401" ht="57.0" customHeight="1">
      <c r="A401" s="25" t="s">
        <v>647</v>
      </c>
      <c r="B401" s="29" t="s">
        <v>648</v>
      </c>
      <c r="C401" s="25"/>
      <c r="D401" s="26">
        <v>72.0</v>
      </c>
      <c r="E401" s="26"/>
      <c r="F401" s="26"/>
      <c r="G401" s="26"/>
      <c r="H401" s="26"/>
      <c r="I401" s="26"/>
      <c r="J401" s="26"/>
      <c r="K401" s="26"/>
      <c r="L401" s="26"/>
      <c r="M401" s="27">
        <f t="shared" si="1"/>
        <v>72</v>
      </c>
      <c r="N401" s="28" t="str">
        <f t="shared" si="2"/>
        <v>惠华报价</v>
      </c>
      <c r="O401" s="26">
        <f t="shared" si="3"/>
        <v>1</v>
      </c>
    </row>
    <row r="402" ht="71.25" customHeight="1">
      <c r="A402" s="30" t="s">
        <v>649</v>
      </c>
      <c r="B402" s="30" t="s">
        <v>650</v>
      </c>
      <c r="C402" s="21"/>
      <c r="D402" s="22">
        <v>68.0</v>
      </c>
      <c r="E402" s="22"/>
      <c r="F402" s="22"/>
      <c r="G402" s="22"/>
      <c r="H402" s="22"/>
      <c r="I402" s="22"/>
      <c r="J402" s="22"/>
      <c r="K402" s="22"/>
      <c r="L402" s="22"/>
      <c r="M402" s="23">
        <f t="shared" si="1"/>
        <v>68</v>
      </c>
      <c r="N402" s="24" t="str">
        <f t="shared" si="2"/>
        <v>惠华报价</v>
      </c>
      <c r="O402" s="22">
        <f t="shared" si="3"/>
        <v>1</v>
      </c>
    </row>
    <row r="403" ht="57.0" customHeight="1">
      <c r="A403" s="29" t="s">
        <v>651</v>
      </c>
      <c r="B403" s="29" t="s">
        <v>652</v>
      </c>
      <c r="C403" s="25"/>
      <c r="D403" s="26">
        <v>95.0</v>
      </c>
      <c r="E403" s="26"/>
      <c r="F403" s="26"/>
      <c r="G403" s="26"/>
      <c r="H403" s="26"/>
      <c r="I403" s="26"/>
      <c r="J403" s="26"/>
      <c r="K403" s="26"/>
      <c r="L403" s="26"/>
      <c r="M403" s="27">
        <f t="shared" si="1"/>
        <v>95</v>
      </c>
      <c r="N403" s="28" t="str">
        <f t="shared" si="2"/>
        <v>惠华报价</v>
      </c>
      <c r="O403" s="26">
        <f t="shared" si="3"/>
        <v>1</v>
      </c>
    </row>
    <row r="404" ht="71.25" customHeight="1">
      <c r="A404" s="30" t="s">
        <v>653</v>
      </c>
      <c r="B404" s="30" t="s">
        <v>654</v>
      </c>
      <c r="C404" s="21"/>
      <c r="D404" s="22">
        <v>95.0</v>
      </c>
      <c r="E404" s="22"/>
      <c r="F404" s="22"/>
      <c r="G404" s="22"/>
      <c r="H404" s="22"/>
      <c r="I404" s="22"/>
      <c r="J404" s="22"/>
      <c r="K404" s="22"/>
      <c r="L404" s="22"/>
      <c r="M404" s="23">
        <f t="shared" si="1"/>
        <v>95</v>
      </c>
      <c r="N404" s="24" t="str">
        <f t="shared" si="2"/>
        <v>惠华报价</v>
      </c>
      <c r="O404" s="22">
        <f t="shared" si="3"/>
        <v>1</v>
      </c>
    </row>
    <row r="405" ht="71.25" customHeight="1">
      <c r="A405" s="29" t="s">
        <v>655</v>
      </c>
      <c r="B405" s="29" t="s">
        <v>656</v>
      </c>
      <c r="C405" s="25"/>
      <c r="D405" s="26">
        <v>88.0</v>
      </c>
      <c r="E405" s="26"/>
      <c r="F405" s="26"/>
      <c r="G405" s="26"/>
      <c r="H405" s="26"/>
      <c r="I405" s="26"/>
      <c r="J405" s="26"/>
      <c r="K405" s="26"/>
      <c r="L405" s="26"/>
      <c r="M405" s="27">
        <f t="shared" si="1"/>
        <v>88</v>
      </c>
      <c r="N405" s="28" t="str">
        <f t="shared" si="2"/>
        <v>惠华报价</v>
      </c>
      <c r="O405" s="26">
        <f t="shared" si="3"/>
        <v>1</v>
      </c>
    </row>
    <row r="406" ht="71.25" customHeight="1"/>
    <row r="407" ht="71.25" customHeight="1"/>
    <row r="408" ht="71.25" customHeight="1"/>
    <row r="409" ht="71.25" customHeight="1"/>
    <row r="410" ht="57.0" customHeight="1"/>
    <row r="411" ht="71.2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O$405"/>
  <mergeCells count="2">
    <mergeCell ref="A1:R1"/>
    <mergeCell ref="A2:R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2.0"/>
    <col customWidth="1" min="3" max="3" width="14.0"/>
    <col customWidth="1" min="4" max="4" width="16.0"/>
    <col customWidth="1" min="5" max="26" width="8.71"/>
  </cols>
  <sheetData>
    <row r="1" ht="25.5" customHeight="1">
      <c r="A1" s="32" t="s">
        <v>657</v>
      </c>
      <c r="B1" s="2"/>
      <c r="C1" s="2"/>
      <c r="D1" s="3"/>
    </row>
    <row r="2">
      <c r="A2" s="33" t="s">
        <v>658</v>
      </c>
      <c r="B2" s="33" t="s">
        <v>659</v>
      </c>
      <c r="C2" s="33" t="s">
        <v>660</v>
      </c>
      <c r="D2" s="33" t="s">
        <v>661</v>
      </c>
    </row>
    <row r="3">
      <c r="A3" s="34" t="s">
        <v>662</v>
      </c>
      <c r="B3" s="35">
        <v>63.0</v>
      </c>
      <c r="C3" s="35">
        <v>132.7</v>
      </c>
      <c r="D3" s="35" t="s">
        <v>663</v>
      </c>
    </row>
    <row r="4">
      <c r="A4" s="36" t="s">
        <v>664</v>
      </c>
      <c r="B4" s="37">
        <v>50.0</v>
      </c>
      <c r="C4" s="37">
        <v>260.0</v>
      </c>
      <c r="D4" s="37" t="s">
        <v>665</v>
      </c>
    </row>
    <row r="5">
      <c r="A5" s="34" t="s">
        <v>666</v>
      </c>
      <c r="B5" s="35">
        <v>26.0</v>
      </c>
      <c r="C5" s="35">
        <v>103.6</v>
      </c>
      <c r="D5" s="35" t="s">
        <v>667</v>
      </c>
    </row>
    <row r="6">
      <c r="A6" s="36" t="s">
        <v>668</v>
      </c>
      <c r="B6" s="37">
        <v>47.0</v>
      </c>
      <c r="C6" s="37">
        <v>173.9</v>
      </c>
      <c r="D6" s="37" t="s">
        <v>669</v>
      </c>
    </row>
    <row r="7">
      <c r="A7" s="34" t="s">
        <v>670</v>
      </c>
      <c r="B7" s="35">
        <v>1.0</v>
      </c>
      <c r="C7" s="35">
        <v>165.0</v>
      </c>
      <c r="D7" s="35" t="s">
        <v>671</v>
      </c>
    </row>
    <row r="8">
      <c r="A8" s="36" t="s">
        <v>672</v>
      </c>
      <c r="B8" s="37">
        <v>3.0</v>
      </c>
      <c r="C8" s="37">
        <v>79.0</v>
      </c>
      <c r="D8" s="37" t="s">
        <v>673</v>
      </c>
    </row>
    <row r="9">
      <c r="A9" s="34" t="s">
        <v>674</v>
      </c>
      <c r="B9" s="35">
        <v>2.0</v>
      </c>
      <c r="C9" s="35">
        <v>160.5</v>
      </c>
      <c r="D9" s="35" t="s">
        <v>675</v>
      </c>
    </row>
    <row r="10">
      <c r="A10" s="36" t="s">
        <v>676</v>
      </c>
      <c r="B10" s="37">
        <v>25.0</v>
      </c>
      <c r="C10" s="37">
        <v>177.5</v>
      </c>
      <c r="D10" s="37" t="s">
        <v>677</v>
      </c>
    </row>
    <row r="11">
      <c r="A11" s="34" t="s">
        <v>678</v>
      </c>
      <c r="B11" s="35">
        <v>9.0</v>
      </c>
      <c r="C11" s="35">
        <v>139.7</v>
      </c>
      <c r="D11" s="35" t="s">
        <v>679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